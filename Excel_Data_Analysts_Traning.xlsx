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Data Analyst\Excel\"/>
    </mc:Choice>
  </mc:AlternateContent>
  <bookViews>
    <workbookView xWindow="0" yWindow="0" windowWidth="23040" windowHeight="9192" tabRatio="941" firstSheet="4" activeTab="11"/>
  </bookViews>
  <sheets>
    <sheet name="Basic Data" sheetId="1" r:id="rId1"/>
    <sheet name="Remove_Duplicate" sheetId="2" r:id="rId2"/>
    <sheet name="Remove_Duplicate-2" sheetId="3" r:id="rId3"/>
    <sheet name="Data Validation" sheetId="11" r:id="rId4"/>
    <sheet name="Blank Rows" sheetId="4" r:id="rId5"/>
    <sheet name="Remove_Spaces" sheetId="5" r:id="rId6"/>
    <sheet name="Remove_Spaces Example-2" sheetId="6" r:id="rId7"/>
    <sheet name="Data_Cleaning" sheetId="7" r:id="rId8"/>
    <sheet name="Split_Data" sheetId="8" r:id="rId9"/>
    <sheet name="Incentive Calculation (IF)" sheetId="12" r:id="rId10"/>
    <sheet name="Logical_Function (AND-OR)" sheetId="13" r:id="rId11"/>
    <sheet name="Data_Sort &amp; Filter" sheetId="14" r:id="rId12"/>
  </sheets>
  <definedNames>
    <definedName name="_xlnm._FilterDatabase" localSheetId="11" hidden="1">'Data_Sort &amp; Filter'!$A$2:$H$47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7" i="14" l="1"/>
  <c r="G46" i="14"/>
  <c r="D46" i="14"/>
  <c r="G45" i="14"/>
  <c r="D45" i="14"/>
  <c r="G44" i="14"/>
  <c r="D44" i="14"/>
  <c r="G43" i="14"/>
  <c r="D43" i="14"/>
  <c r="G42" i="14"/>
  <c r="D42" i="14"/>
  <c r="G41" i="14"/>
  <c r="D41" i="14"/>
  <c r="G40" i="14"/>
  <c r="D40" i="14"/>
  <c r="G39" i="14"/>
  <c r="D39" i="14"/>
  <c r="G38" i="14"/>
  <c r="D38" i="14"/>
  <c r="G37" i="14"/>
  <c r="D37" i="14"/>
  <c r="G36" i="14"/>
  <c r="D36" i="14"/>
  <c r="G35" i="14"/>
  <c r="D35" i="14"/>
  <c r="G34" i="14"/>
  <c r="D34" i="14"/>
  <c r="G33" i="14"/>
  <c r="D33" i="14"/>
  <c r="G32" i="14"/>
  <c r="D32" i="14"/>
  <c r="G31" i="14"/>
  <c r="D31" i="14"/>
  <c r="G30" i="14"/>
  <c r="D30" i="14"/>
  <c r="G29" i="14"/>
  <c r="D29" i="14"/>
  <c r="G28" i="14"/>
  <c r="D28" i="14"/>
  <c r="G27" i="14"/>
  <c r="D27" i="14"/>
  <c r="G26" i="14"/>
  <c r="D26" i="14"/>
  <c r="G25" i="14"/>
  <c r="D25" i="14"/>
  <c r="G24" i="14"/>
  <c r="D24" i="14"/>
  <c r="G23" i="14"/>
  <c r="D23" i="14"/>
  <c r="G22" i="14"/>
  <c r="D22" i="14"/>
  <c r="G21" i="14"/>
  <c r="D21" i="14"/>
  <c r="G20" i="14"/>
  <c r="D20" i="14"/>
  <c r="G19" i="14"/>
  <c r="D19" i="14"/>
  <c r="G18" i="14"/>
  <c r="D18" i="14"/>
  <c r="G17" i="14"/>
  <c r="D17" i="14"/>
  <c r="G16" i="14"/>
  <c r="D16" i="14"/>
  <c r="G15" i="14"/>
  <c r="D15" i="14"/>
  <c r="G14" i="14"/>
  <c r="D14" i="14"/>
  <c r="G13" i="14"/>
  <c r="D13" i="14"/>
  <c r="G12" i="14"/>
  <c r="D12" i="14"/>
  <c r="G11" i="14"/>
  <c r="D11" i="14"/>
  <c r="G10" i="14"/>
  <c r="D10" i="14"/>
  <c r="G9" i="14"/>
  <c r="D9" i="14"/>
  <c r="G8" i="14"/>
  <c r="D8" i="14"/>
  <c r="G7" i="14"/>
  <c r="D7" i="14"/>
  <c r="G6" i="14"/>
  <c r="D6" i="14"/>
  <c r="G5" i="14"/>
  <c r="D5" i="14"/>
  <c r="G4" i="14"/>
  <c r="D4" i="14"/>
  <c r="G3" i="14"/>
  <c r="D3" i="14"/>
  <c r="F4" i="13"/>
  <c r="F5" i="13"/>
  <c r="F6" i="13"/>
  <c r="F7" i="13"/>
  <c r="F8" i="13"/>
  <c r="F9" i="13"/>
  <c r="F10" i="13"/>
  <c r="F11" i="13"/>
  <c r="F12" i="13"/>
  <c r="F13" i="13"/>
  <c r="F14" i="13"/>
  <c r="F3" i="13"/>
  <c r="E4" i="13"/>
  <c r="E5" i="13"/>
  <c r="E6" i="13"/>
  <c r="E7" i="13"/>
  <c r="E8" i="13"/>
  <c r="E9" i="13"/>
  <c r="E10" i="13"/>
  <c r="E11" i="13"/>
  <c r="E12" i="13"/>
  <c r="E13" i="13"/>
  <c r="E14" i="13"/>
  <c r="E3" i="13"/>
  <c r="F4" i="12"/>
  <c r="F5" i="12"/>
  <c r="F6" i="12"/>
  <c r="F7" i="12"/>
  <c r="F8" i="12"/>
  <c r="F9" i="12"/>
  <c r="F10" i="12"/>
  <c r="F11" i="12"/>
  <c r="F12" i="12"/>
  <c r="F13" i="12"/>
  <c r="F14" i="12"/>
  <c r="F3" i="12"/>
  <c r="E4" i="12"/>
  <c r="E5" i="12"/>
  <c r="E6" i="12"/>
  <c r="E7" i="12"/>
  <c r="E8" i="12"/>
  <c r="E9" i="12"/>
  <c r="E10" i="12"/>
  <c r="E11" i="12"/>
  <c r="E12" i="12"/>
  <c r="E13" i="12"/>
  <c r="E14" i="12"/>
  <c r="E3" i="12"/>
  <c r="D5" i="8"/>
  <c r="D6" i="8"/>
  <c r="D7" i="8"/>
  <c r="D4" i="8"/>
  <c r="C5" i="8"/>
  <c r="C6" i="8"/>
  <c r="C7" i="8"/>
  <c r="C4" i="8"/>
  <c r="D4" i="6"/>
  <c r="D5" i="6"/>
  <c r="D6" i="6"/>
  <c r="D7" i="6"/>
  <c r="D8" i="6"/>
  <c r="D9" i="6"/>
  <c r="D10" i="6"/>
  <c r="D11" i="6"/>
  <c r="D12" i="6"/>
  <c r="D3" i="6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3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28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13" i="7"/>
  <c r="D5" i="7"/>
  <c r="D6" i="7"/>
  <c r="D7" i="7"/>
  <c r="D8" i="7"/>
  <c r="D9" i="7"/>
  <c r="D10" i="7"/>
  <c r="D11" i="7"/>
  <c r="D12" i="7"/>
  <c r="D4" i="7"/>
  <c r="D3" i="7"/>
  <c r="H47" i="7"/>
  <c r="E4" i="6"/>
  <c r="E5" i="6"/>
  <c r="E6" i="6"/>
  <c r="E7" i="6"/>
  <c r="F7" i="6" s="1"/>
  <c r="E8" i="6"/>
  <c r="E9" i="6"/>
  <c r="E10" i="6"/>
  <c r="E11" i="6"/>
  <c r="F11" i="6" s="1"/>
  <c r="E12" i="6"/>
  <c r="F6" i="6"/>
  <c r="F10" i="6"/>
  <c r="F3" i="6"/>
  <c r="F4" i="6"/>
  <c r="F5" i="6"/>
  <c r="F8" i="6"/>
  <c r="F9" i="6"/>
  <c r="F12" i="6"/>
  <c r="B3" i="6"/>
  <c r="C4" i="6"/>
  <c r="C5" i="6"/>
  <c r="C6" i="6"/>
  <c r="C7" i="6"/>
  <c r="C8" i="6"/>
  <c r="C9" i="6"/>
  <c r="C10" i="6"/>
  <c r="C11" i="6"/>
  <c r="C12" i="6"/>
  <c r="C3" i="6"/>
  <c r="B4" i="6"/>
  <c r="B5" i="6"/>
  <c r="B6" i="6"/>
  <c r="B7" i="6"/>
  <c r="B8" i="6"/>
  <c r="B9" i="6"/>
  <c r="B10" i="6"/>
  <c r="B11" i="6"/>
  <c r="B12" i="6"/>
  <c r="D17" i="5" l="1"/>
  <c r="D18" i="5"/>
  <c r="D16" i="5"/>
  <c r="I18" i="5"/>
  <c r="I17" i="5"/>
  <c r="I16" i="5"/>
  <c r="F4" i="5"/>
  <c r="F5" i="5"/>
  <c r="F6" i="5"/>
  <c r="F7" i="5"/>
  <c r="F8" i="5"/>
  <c r="F9" i="5"/>
  <c r="F10" i="5"/>
  <c r="F11" i="5"/>
  <c r="F12" i="5"/>
  <c r="F3" i="5"/>
  <c r="E4" i="5"/>
  <c r="E5" i="5"/>
  <c r="E6" i="5"/>
  <c r="E7" i="5"/>
  <c r="E8" i="5"/>
  <c r="E9" i="5"/>
  <c r="E10" i="5"/>
  <c r="E11" i="5"/>
  <c r="E12" i="5"/>
  <c r="E3" i="5"/>
  <c r="D4" i="5"/>
  <c r="D5" i="5"/>
  <c r="D6" i="5"/>
  <c r="D7" i="5"/>
  <c r="D8" i="5"/>
  <c r="D9" i="5"/>
  <c r="D10" i="5"/>
  <c r="D11" i="5"/>
  <c r="D12" i="5"/>
  <c r="D3" i="5"/>
  <c r="F41" i="4"/>
  <c r="O6" i="1"/>
  <c r="P6" i="1"/>
  <c r="Q6" i="1"/>
  <c r="R6" i="1"/>
  <c r="O7" i="1"/>
  <c r="P7" i="1"/>
  <c r="Q7" i="1"/>
  <c r="R7" i="1"/>
  <c r="O8" i="1"/>
  <c r="P8" i="1"/>
  <c r="Q8" i="1"/>
  <c r="R8" i="1"/>
  <c r="O9" i="1"/>
  <c r="P9" i="1"/>
  <c r="Q9" i="1"/>
  <c r="R9" i="1"/>
  <c r="O10" i="1"/>
  <c r="P10" i="1"/>
  <c r="Q10" i="1"/>
  <c r="R10" i="1"/>
  <c r="O11" i="1"/>
  <c r="P11" i="1"/>
  <c r="Q11" i="1"/>
  <c r="R11" i="1"/>
  <c r="O12" i="1"/>
  <c r="P12" i="1"/>
  <c r="Q12" i="1"/>
  <c r="R12" i="1"/>
  <c r="O13" i="1"/>
  <c r="P13" i="1"/>
  <c r="Q13" i="1"/>
  <c r="R13" i="1"/>
  <c r="O14" i="1"/>
  <c r="P14" i="1"/>
  <c r="Q14" i="1"/>
  <c r="R14" i="1"/>
  <c r="O15" i="1"/>
  <c r="P15" i="1"/>
  <c r="Q15" i="1"/>
  <c r="R15" i="1"/>
  <c r="O16" i="1"/>
  <c r="P16" i="1"/>
  <c r="Q16" i="1"/>
  <c r="R16" i="1"/>
  <c r="O5" i="1"/>
  <c r="P5" i="1"/>
  <c r="Q5" i="1"/>
  <c r="R5" i="1"/>
  <c r="M16" i="1"/>
  <c r="M15" i="1"/>
  <c r="M14" i="1"/>
  <c r="M13" i="1"/>
  <c r="M12" i="1"/>
  <c r="M11" i="1"/>
  <c r="M10" i="1"/>
  <c r="M9" i="1"/>
  <c r="M8" i="1"/>
  <c r="M7" i="1"/>
  <c r="M6" i="1"/>
  <c r="M5" i="1"/>
  <c r="J17" i="1"/>
  <c r="K17" i="1"/>
  <c r="L17" i="1"/>
  <c r="F28" i="1"/>
</calcChain>
</file>

<file path=xl/sharedStrings.xml><?xml version="1.0" encoding="utf-8"?>
<sst xmlns="http://schemas.openxmlformats.org/spreadsheetml/2006/main" count="773" uniqueCount="326">
  <si>
    <t>S.No</t>
  </si>
  <si>
    <t>Empoly I.D</t>
  </si>
  <si>
    <t>Age</t>
  </si>
  <si>
    <t>Salary</t>
  </si>
  <si>
    <t>DOJ</t>
  </si>
  <si>
    <t>Name</t>
  </si>
  <si>
    <t>Department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</si>
  <si>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</si>
  <si>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</si>
  <si>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</si>
  <si>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</si>
  <si>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</si>
  <si>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</si>
  <si>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</si>
  <si>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</si>
  <si>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</si>
  <si>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</si>
  <si>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</si>
  <si>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</si>
  <si>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</si>
  <si>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</si>
  <si>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</si>
  <si>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</si>
  <si>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</si>
  <si>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</si>
  <si>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</si>
  <si>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</si>
  <si>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</si>
  <si>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</si>
  <si>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</si>
  <si>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</si>
  <si>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</si>
  <si>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Employee_1</t>
  </si>
  <si>
    <t>Employee_2</t>
  </si>
  <si>
    <t>Employee_3</t>
  </si>
  <si>
    <t>Employee_4</t>
  </si>
  <si>
    <t>Employee_5</t>
  </si>
  <si>
    <t>Employee_6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</si>
  <si>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</si>
  <si>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</si>
  <si>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</si>
  <si>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</si>
  <si>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</si>
  <si>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</si>
  <si>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</si>
  <si>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</si>
  <si>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</si>
  <si>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</si>
  <si>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</si>
  <si>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</si>
  <si>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</si>
  <si>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</si>
  <si>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</si>
  <si>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</si>
  <si>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</si>
  <si>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</si>
  <si>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</si>
  <si>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Finance</t>
  </si>
  <si>
    <t>Operations</t>
  </si>
  <si>
    <t>Sales</t>
  </si>
  <si>
    <t>IT</t>
  </si>
  <si>
    <t>HR</t>
  </si>
  <si>
    <t>SUB-1</t>
  </si>
  <si>
    <t>SUB-2</t>
  </si>
  <si>
    <t>SUB-3</t>
  </si>
  <si>
    <t>TOTAL</t>
  </si>
  <si>
    <t>Grace Marks</t>
  </si>
  <si>
    <t>Max</t>
  </si>
  <si>
    <t>Min</t>
  </si>
  <si>
    <t>Average</t>
  </si>
  <si>
    <t>Count</t>
  </si>
  <si>
    <t>operations</t>
  </si>
  <si>
    <t>Product_ID</t>
  </si>
  <si>
    <t>Product_Name</t>
  </si>
  <si>
    <t>Category</t>
  </si>
  <si>
    <t>Price</t>
  </si>
  <si>
    <t>Quantity_Available</t>
  </si>
  <si>
    <t>Rating</t>
  </si>
  <si>
    <t>Seller</t>
  </si>
  <si>
    <t>Apple iPhone 15</t>
  </si>
  <si>
    <t>Samsung Galaxy S23</t>
  </si>
  <si>
    <t>Sony WH-1000XM5</t>
  </si>
  <si>
    <t>Dell XPS 13</t>
  </si>
  <si>
    <t>HP Spectre x360</t>
  </si>
  <si>
    <t>Bose QuietComfort 45</t>
  </si>
  <si>
    <t>Lenevo ThinkPad X1</t>
  </si>
  <si>
    <t>Mobile</t>
  </si>
  <si>
    <t>Headphones</t>
  </si>
  <si>
    <t>Laptop</t>
  </si>
  <si>
    <t>Tech World</t>
  </si>
  <si>
    <t>Gedget Hub</t>
  </si>
  <si>
    <t>Sound Pro</t>
  </si>
  <si>
    <t>Laptop Store</t>
  </si>
  <si>
    <t>HP Store</t>
  </si>
  <si>
    <t>Employee ID</t>
  </si>
  <si>
    <t>Contact No</t>
  </si>
  <si>
    <t>Command</t>
  </si>
  <si>
    <t>Ctrl+g, then goto dialog box, click on special, then tick on (Blanks)</t>
  </si>
  <si>
    <t>Go to DATA, then press Remove Duplicates, select all for entire data sheet</t>
  </si>
  <si>
    <t>Go to DATA, then Remove Duplicates, then tick on which you want to remove only</t>
  </si>
  <si>
    <t xml:space="preserve">Mobile     </t>
  </si>
  <si>
    <t xml:space="preserve">Mobile       </t>
  </si>
  <si>
    <t xml:space="preserve">    Headphones</t>
  </si>
  <si>
    <t xml:space="preserve">Laptop    </t>
  </si>
  <si>
    <t xml:space="preserve">Mobile  </t>
  </si>
  <si>
    <t xml:space="preserve">        Laptop</t>
  </si>
  <si>
    <t xml:space="preserve">Headphones  </t>
  </si>
  <si>
    <t xml:space="preserve">     Headphones</t>
  </si>
  <si>
    <t xml:space="preserve">Laptop       </t>
  </si>
  <si>
    <t xml:space="preserve">         Headphones</t>
  </si>
  <si>
    <t>Formula, =TRIM(select)</t>
  </si>
  <si>
    <t xml:space="preserve">To count Length words, </t>
  </si>
  <si>
    <t>Remove Space</t>
  </si>
  <si>
    <t>Formula,  =len(select)</t>
  </si>
  <si>
    <t>Length-1</t>
  </si>
  <si>
    <t>Length-2</t>
  </si>
  <si>
    <t>for perticular product findCount if</t>
  </si>
  <si>
    <t>Formula =countif, then select whole row/column</t>
  </si>
  <si>
    <t>CountIF</t>
  </si>
  <si>
    <t>To remove space,  (Leading and Trailing Spaces</t>
  </si>
  <si>
    <t xml:space="preserve">Material </t>
  </si>
  <si>
    <t>Un-breakable space</t>
  </si>
  <si>
    <t xml:space="preserve">WH10017QM01    </t>
  </si>
  <si>
    <t xml:space="preserve">WH1881NL01     </t>
  </si>
  <si>
    <t xml:space="preserve">WH18887QM02    </t>
  </si>
  <si>
    <t xml:space="preserve">WH10065QM03    </t>
  </si>
  <si>
    <t xml:space="preserve">WH11234QM04    </t>
  </si>
  <si>
    <t xml:space="preserve">WH10085QM08    </t>
  </si>
  <si>
    <t xml:space="preserve">WH10965QM00    </t>
  </si>
  <si>
    <t xml:space="preserve">WH16587QM07    </t>
  </si>
  <si>
    <t xml:space="preserve">WH56817QM08    </t>
  </si>
  <si>
    <t xml:space="preserve">WH96317QM09    </t>
  </si>
  <si>
    <t>Trim</t>
  </si>
  <si>
    <t>Formula =subtitute(A2,"WH","MH"</t>
  </si>
  <si>
    <t>SUBSTITUTE (Allow us to remove old-text to new-text</t>
  </si>
  <si>
    <t>Subtitute Taxt</t>
  </si>
  <si>
    <t>UN-BREAKABLE SPACE (Allow us to remove unbreakable space</t>
  </si>
  <si>
    <t>Formula =subtitute(A2,CHAR(160),"")</t>
  </si>
  <si>
    <t>Un-Breakable Space</t>
  </si>
  <si>
    <t xml:space="preserve"> </t>
  </si>
  <si>
    <t>Product Code</t>
  </si>
  <si>
    <t>Product Name</t>
  </si>
  <si>
    <t>Stock</t>
  </si>
  <si>
    <t>Proper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</si>
  <si>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</si>
  <si>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</si>
  <si>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</si>
  <si>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</si>
  <si>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</si>
  <si>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</si>
  <si>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</si>
  <si>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</si>
  <si>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</si>
  <si>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</si>
  <si>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</si>
  <si>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</si>
  <si>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</si>
  <si>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</si>
  <si>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</si>
  <si>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</si>
  <si>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</si>
  <si>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</si>
  <si>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</si>
  <si>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</si>
  <si>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</si>
  <si>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</si>
  <si>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</si>
  <si>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</si>
  <si>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</si>
  <si>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</si>
  <si>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</si>
  <si>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</si>
  <si>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</si>
  <si>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</si>
  <si>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</si>
  <si>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</si>
  <si>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</si>
  <si>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</si>
  <si>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</si>
  <si>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</si>
  <si>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</si>
  <si>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</si>
  <si>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</si>
  <si>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</si>
  <si>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</si>
  <si>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</si>
  <si>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</si>
  <si>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</si>
  <si>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</si>
  <si>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</si>
  <si>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</si>
  <si>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</si>
  <si>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</si>
  <si>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</si>
  <si>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</si>
  <si>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</si>
  <si>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</si>
  <si>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</si>
  <si>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</si>
  <si>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</si>
  <si>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</si>
  <si>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</si>
  <si>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</si>
  <si>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</si>
  <si>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</si>
  <si>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</si>
  <si>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</si>
  <si>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</si>
  <si>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</si>
  <si>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</si>
  <si>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</si>
  <si>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</si>
  <si>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</si>
  <si>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</si>
  <si>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</si>
  <si>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</si>
  <si>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</si>
  <si>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</si>
  <si>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</si>
  <si>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</si>
  <si>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</si>
  <si>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</si>
  <si>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</si>
  <si>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</si>
  <si>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</si>
  <si>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</si>
  <si>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</si>
  <si>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</si>
  <si>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</si>
  <si>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</si>
  <si>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</si>
  <si>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</si>
  <si>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ElecTornics</t>
  </si>
  <si>
    <t>Electronic</t>
  </si>
  <si>
    <t>FOOD</t>
  </si>
  <si>
    <t>Cloting</t>
  </si>
  <si>
    <t>Furniture</t>
  </si>
  <si>
    <t>ClotinG</t>
  </si>
  <si>
    <t>Command for Capital &amp; Small Words (Proper, Uppar, Lower)</t>
  </si>
  <si>
    <t>Formula, =Proper(A2), =Upar(A9), =Lower(A15)</t>
  </si>
  <si>
    <t>Condition Formula, =if(F3&lt;0,0,F3)</t>
  </si>
  <si>
    <t>Fresh Stock (after fomula)</t>
  </si>
  <si>
    <t>City-Pincode</t>
  </si>
  <si>
    <t>Islamabad-56892</t>
  </si>
  <si>
    <t>Fiaslabad-365892</t>
  </si>
  <si>
    <t>Pincode</t>
  </si>
  <si>
    <t>Flash Fill (ctrl+E)</t>
  </si>
  <si>
    <t>Lahore</t>
  </si>
  <si>
    <t>IslamaBAD</t>
  </si>
  <si>
    <t>FiaslaBAD</t>
  </si>
  <si>
    <t>City-PINCODE</t>
  </si>
  <si>
    <r>
      <t xml:space="preserve">Command for </t>
    </r>
    <r>
      <rPr>
        <b/>
        <sz val="11"/>
        <color theme="1"/>
        <rFont val="Calibri"/>
        <family val="2"/>
        <scheme val="minor"/>
      </rPr>
      <t>Negative values</t>
    </r>
    <r>
      <rPr>
        <sz val="11"/>
        <color theme="1"/>
        <rFont val="Calibri"/>
        <family val="2"/>
        <scheme val="minor"/>
      </rPr>
      <t>, which shows in (-3, -5)</t>
    </r>
  </si>
  <si>
    <r>
      <t xml:space="preserve">Command for </t>
    </r>
    <r>
      <rPr>
        <b/>
        <sz val="11"/>
        <color theme="1"/>
        <rFont val="Calibri"/>
        <family val="2"/>
        <scheme val="minor"/>
      </rPr>
      <t>Find Text</t>
    </r>
    <r>
      <rPr>
        <sz val="11"/>
        <color theme="1"/>
        <rFont val="Calibri"/>
        <family val="2"/>
        <scheme val="minor"/>
      </rPr>
      <t xml:space="preserve"> (find anything in lagre data in single cell) Find text, within text, start number</t>
    </r>
  </si>
  <si>
    <t>KarachI-</t>
  </si>
  <si>
    <t>Find Text (LEFT Side)</t>
  </si>
  <si>
    <t>Lahore-459669</t>
  </si>
  <si>
    <t>Karachi-7585059</t>
  </si>
  <si>
    <t>Formula, Position LeftSide =LEFT(A4,FIND("-",A4,1)-1)</t>
  </si>
  <si>
    <t>Formula, Position RightSide =LEFT(A4,FIND("-",A4,1)-1)</t>
  </si>
  <si>
    <t>For auto fit row and hight,</t>
  </si>
  <si>
    <t>Short Key, Alt+h,o,i</t>
  </si>
  <si>
    <t>EMP00</t>
  </si>
  <si>
    <t>EMP01</t>
  </si>
  <si>
    <t>EMP02</t>
  </si>
  <si>
    <t>EMP03</t>
  </si>
  <si>
    <t>EMP04</t>
  </si>
  <si>
    <t>EMP05</t>
  </si>
  <si>
    <t>Employee_001</t>
  </si>
  <si>
    <t>Employee_002</t>
  </si>
  <si>
    <t>Employee_003</t>
  </si>
  <si>
    <t>Employee_004</t>
  </si>
  <si>
    <t>Employee_005</t>
  </si>
  <si>
    <t>Employee_006</t>
  </si>
  <si>
    <t>xyz</t>
  </si>
  <si>
    <t>Goto Data, then Data Validation, then settings, allow, text length, then set the range</t>
  </si>
  <si>
    <t>Emp ID</t>
  </si>
  <si>
    <t>Salesman</t>
  </si>
  <si>
    <t>Target Status</t>
  </si>
  <si>
    <t>Salesman_1</t>
  </si>
  <si>
    <t>Salesman_2</t>
  </si>
  <si>
    <t>Salesman_3</t>
  </si>
  <si>
    <t>Salesman_4</t>
  </si>
  <si>
    <t>Salesman_5</t>
  </si>
  <si>
    <t>Salesman_6</t>
  </si>
  <si>
    <t>Salesman_7</t>
  </si>
  <si>
    <t>Salesman_8</t>
  </si>
  <si>
    <t>Salesman_9</t>
  </si>
  <si>
    <t>Salesman_10</t>
  </si>
  <si>
    <t>Salesman_11</t>
  </si>
  <si>
    <t>Salesman_12</t>
  </si>
  <si>
    <t>Target Condition</t>
  </si>
  <si>
    <t>Sales Achived</t>
  </si>
  <si>
    <t>Status</t>
  </si>
  <si>
    <t>Completed</t>
  </si>
  <si>
    <t>Incomplete</t>
  </si>
  <si>
    <t>&lt;50000</t>
  </si>
  <si>
    <t>&gt;=50000</t>
  </si>
  <si>
    <t>Incentive</t>
  </si>
  <si>
    <t>INCENTIVE CALCULATION</t>
  </si>
  <si>
    <t>75000&gt;</t>
  </si>
  <si>
    <t>50000&gt;</t>
  </si>
  <si>
    <t>Percentage</t>
  </si>
  <si>
    <t>Incentive Formular, =IF(D3&gt;75000,D3*25%,IF(D3&gt;50000,D3*15%,IF(D3&lt;=50000,D3*10%)))</t>
  </si>
  <si>
    <t>Formula, =IF(D3&gt;=50000,"Completed",IF(D3&lt;50000,"Incompleted"))</t>
  </si>
  <si>
    <t>Understanding AND/OR</t>
  </si>
  <si>
    <t>Understanding IF, IFS</t>
  </si>
  <si>
    <t>BOTH</t>
  </si>
  <si>
    <t>5&gt;</t>
  </si>
  <si>
    <t>Promotion</t>
  </si>
  <si>
    <t>YES</t>
  </si>
  <si>
    <t>Any One</t>
  </si>
  <si>
    <t>Working (years)</t>
  </si>
  <si>
    <t>5&gt;=</t>
  </si>
  <si>
    <t>Formula, =IF(AND(B3="Operations",C3&gt;=5),"Yes","No")</t>
  </si>
  <si>
    <t>(AND) Promotions</t>
  </si>
  <si>
    <t>(OR) Promotions</t>
  </si>
  <si>
    <t>Formular, =IF(OR(B4="Operations",C4&gt;=5),"YES","NO")</t>
  </si>
  <si>
    <t>Apply on Single Cell condition</t>
  </si>
  <si>
    <t>Apply on Two or Mor Cell condition</t>
  </si>
  <si>
    <t>Formula, =SORT(A2:J1001,3,-1)</t>
  </si>
  <si>
    <t>Formula, =FILTER(A2:J1001,D2:D1001="Furniture","Not-Found"</t>
  </si>
  <si>
    <t>Sort Formula (Apply on whole table, select whole table)</t>
  </si>
  <si>
    <t>Items</t>
  </si>
  <si>
    <t>Electornics</t>
  </si>
  <si>
    <t>Formula, =SORT(FILTER(A2:J1001,D2:D1001=L2),10,-1)</t>
  </si>
  <si>
    <t>Formula, =TAKE(SORT(FILTER(A2:J1001,D2:D1001=L2),10,-1),BLANK CELL)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</si>
</sst>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yy;@"/>
    <numFmt numFmtId="165" formatCode="_-[$Rs.-849]\ * #,##0.00_-;\-[$Rs.-849]\ * #,##0.00_-;_-[$Rs.-849]\ * &quot;-&quot;??_-;_-@_-"/>
    <numFmt numFmtId="166" formatCode="[$Rs.-849]\ #,##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164" fontId="0" fillId="0" borderId="0" xfId="0" quotePrefix="1" applyNumberFormat="1"/>
    <xf numFmtId="165" fontId="0" fillId="0" borderId="0" xfId="0" applyNumberFormat="1"/>
    <xf numFmtId="165" fontId="1" fillId="0" borderId="0" xfId="0" applyNumberFormat="1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2" fillId="0" borderId="1" xfId="0" applyFont="1" applyFill="1" applyBorder="1" applyAlignment="1">
      <alignment horizontal="center"/>
    </xf>
    <xf numFmtId="2" fontId="0" fillId="0" borderId="1" xfId="0" applyNumberFormat="1" applyBorder="1"/>
    <xf numFmtId="166" fontId="0" fillId="0" borderId="0" xfId="0" applyNumberFormat="1" applyAlignment="1">
      <alignment horizontal="left"/>
    </xf>
    <xf numFmtId="0" fontId="3" fillId="0" borderId="0" xfId="0" applyFont="1"/>
    <xf numFmtId="0" fontId="3" fillId="2" borderId="0" xfId="0" applyFont="1" applyFill="1"/>
    <xf numFmtId="0" fontId="2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3" fillId="2" borderId="0" xfId="0" applyFont="1" applyFill="1" applyAlignment="1">
      <alignment horizontal="center"/>
    </xf>
    <xf numFmtId="0" fontId="1" fillId="5" borderId="1" xfId="0" applyFont="1" applyFill="1" applyBorder="1" applyAlignment="1">
      <alignment horizontal="center"/>
    </xf>
    <xf numFmtId="9" fontId="0" fillId="0" borderId="0" xfId="0" applyNumberFormat="1"/>
    <xf numFmtId="0" fontId="0" fillId="0" borderId="1" xfId="0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6"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28"/>
  <sheetViews>
    <sheetView workbookViewId="0">
      <selection activeCell="H29" sqref="H29"/>
    </sheetView>
  </sheetViews>
  <sheetFormatPr defaultRowHeight="14.4" x14ac:dyDescent="0.3"/>
  <cols>
    <col min="1" max="1" width="4.88671875" style="1" bestFit="1" customWidth="1"/>
    <col min="2" max="2" width="9.77734375" style="3" bestFit="1" customWidth="1"/>
    <col min="3" max="3" width="12" style="2" bestFit="1" customWidth="1"/>
    <col min="4" max="4" width="8.88671875" style="1"/>
    <col min="5" max="5" width="11.109375" bestFit="1" customWidth="1"/>
    <col min="6" max="6" width="15.77734375" bestFit="1" customWidth="1"/>
    <col min="7" max="7" width="18.5546875" bestFit="1" customWidth="1"/>
    <col min="10" max="13" width="11.44140625" customWidth="1"/>
  </cols>
  <sheetData>
    <row r="2" spans="1:18" s="4" customFormat="1" x14ac:dyDescent="0.3">
      <c r="A2" s="5" t="s">
        <v>0</v>
      </c>
      <c r="B2" s="5" t="s">
        <v>1</v>
      </c>
      <c r="C2" s="5" t="s">
        <v>5</v>
      </c>
      <c r="D2" s="5" t="s">
        <v>2</v>
      </c>
      <c r="E2" s="5" t="s">
        <v>6</v>
      </c>
      <c r="F2" s="5" t="s">
        <v>3</v>
      </c>
      <c r="G2" s="5" t="s">
        <v>4</v>
      </c>
    </row>
    <row r="3" spans="1:18" x14ac:dyDescent="0.3">
      <c r="A3" s="1">
        <v>1</v>
      </c>
      <c r="B3" s="3" t="s">
        <v>7</v>
      </c>
      <c r="C3" s="2" t="s">
        <v>32</v>
      </c>
      <c r="D3" s="1">
        <v>35</v>
      </c>
      <c r="E3" t="s">
        <v>57</v>
      </c>
      <c r="F3" s="7">
        <v>65985</v>
      </c>
      <c r="G3" s="6">
        <v>45782</v>
      </c>
      <c r="H3" t="s">
        <v>71</v>
      </c>
    </row>
    <row r="4" spans="1:18" x14ac:dyDescent="0.3">
      <c r="A4" s="1">
        <v>2</v>
      </c>
      <c r="B4" s="3" t="s">
        <v>8</v>
      </c>
      <c r="C4" s="2" t="s">
        <v>33</v>
      </c>
      <c r="D4" s="1">
        <v>45</v>
      </c>
      <c r="E4" t="s">
        <v>58</v>
      </c>
      <c r="F4" s="7">
        <v>63258</v>
      </c>
      <c r="G4" s="6">
        <v>45783</v>
      </c>
      <c r="J4" s="10" t="s">
        <v>62</v>
      </c>
      <c r="K4" s="10" t="s">
        <v>63</v>
      </c>
      <c r="L4" s="10" t="s">
        <v>64</v>
      </c>
      <c r="M4" s="10" t="s">
        <v>65</v>
      </c>
      <c r="O4" s="13" t="s">
        <v>67</v>
      </c>
      <c r="P4" s="13" t="s">
        <v>68</v>
      </c>
      <c r="Q4" s="13" t="s">
        <v>69</v>
      </c>
      <c r="R4" s="13" t="s">
        <v>70</v>
      </c>
    </row>
    <row r="5" spans="1:18" x14ac:dyDescent="0.3">
      <c r="A5" s="1">
        <v>3</v>
      </c>
      <c r="B5" s="3" t="s">
        <v>9</v>
      </c>
      <c r="C5" s="2" t="s">
        <v>34</v>
      </c>
      <c r="D5" s="1">
        <v>55</v>
      </c>
      <c r="E5" t="s">
        <v>59</v>
      </c>
      <c r="F5" s="7">
        <v>98653</v>
      </c>
      <c r="G5" s="6">
        <v>45784</v>
      </c>
      <c r="J5" s="11">
        <v>76</v>
      </c>
      <c r="K5" s="11">
        <v>22</v>
      </c>
      <c r="L5" s="11">
        <v>59</v>
      </c>
      <c r="M5" s="11">
        <f>SUM(J5:L5)+$J$21</f>
        <v>167</v>
      </c>
      <c r="O5" s="11">
        <f>MAX(J5:L5)</f>
        <v>76</v>
      </c>
      <c r="P5" s="11">
        <f>MIN(J5:L5)</f>
        <v>22</v>
      </c>
      <c r="Q5" s="14">
        <f>AVERAGE(J5:L5)</f>
        <v>52.333333333333336</v>
      </c>
      <c r="R5" s="11">
        <f>COUNT(J5:L5)</f>
        <v>3</v>
      </c>
    </row>
    <row r="6" spans="1:18" x14ac:dyDescent="0.3">
      <c r="A6" s="1">
        <v>4</v>
      </c>
      <c r="B6" s="3" t="s">
        <v>10</v>
      </c>
      <c r="C6" s="2" t="s">
        <v>35</v>
      </c>
      <c r="D6" s="1">
        <v>32</v>
      </c>
      <c r="E6" t="s">
        <v>58</v>
      </c>
      <c r="F6" s="7">
        <v>87456</v>
      </c>
      <c r="G6" s="6">
        <v>45785</v>
      </c>
      <c r="J6" s="11">
        <v>31</v>
      </c>
      <c r="K6" s="11">
        <v>33</v>
      </c>
      <c r="L6" s="11">
        <v>57</v>
      </c>
      <c r="M6" s="11">
        <f t="shared" ref="M6:M16" si="0">SUM(J6:L6)+$J$21</f>
        <v>131</v>
      </c>
      <c r="O6" s="11">
        <f t="shared" ref="O6:O16" si="1">MAX(J6:L6)</f>
        <v>57</v>
      </c>
      <c r="P6" s="11">
        <f t="shared" ref="P6:P16" si="2">MIN(J6:L6)</f>
        <v>31</v>
      </c>
      <c r="Q6" s="14">
        <f t="shared" ref="Q6:Q16" si="3">AVERAGE(J6:L6)</f>
        <v>40.333333333333336</v>
      </c>
      <c r="R6" s="11">
        <f t="shared" ref="R6:R16" si="4">COUNT(J6:L6)</f>
        <v>3</v>
      </c>
    </row>
    <row r="7" spans="1:18" x14ac:dyDescent="0.3">
      <c r="A7" s="1">
        <v>5</v>
      </c>
      <c r="B7" s="3" t="s">
        <v>11</v>
      </c>
      <c r="C7" s="2" t="s">
        <v>36</v>
      </c>
      <c r="D7" s="1">
        <v>19</v>
      </c>
      <c r="E7" t="s">
        <v>59</v>
      </c>
      <c r="F7" s="7">
        <v>96541</v>
      </c>
      <c r="G7" s="6">
        <v>45786</v>
      </c>
      <c r="J7" s="11">
        <v>45</v>
      </c>
      <c r="K7" s="11">
        <v>59</v>
      </c>
      <c r="L7" s="11">
        <v>55</v>
      </c>
      <c r="M7" s="11">
        <f t="shared" si="0"/>
        <v>169</v>
      </c>
      <c r="O7" s="11">
        <f t="shared" si="1"/>
        <v>59</v>
      </c>
      <c r="P7" s="11">
        <f t="shared" si="2"/>
        <v>45</v>
      </c>
      <c r="Q7" s="14">
        <f t="shared" si="3"/>
        <v>53</v>
      </c>
      <c r="R7" s="11">
        <f t="shared" si="4"/>
        <v>3</v>
      </c>
    </row>
    <row r="8" spans="1:18" x14ac:dyDescent="0.3">
      <c r="A8" s="1">
        <v>6</v>
      </c>
      <c r="B8" s="3" t="s">
        <v>12</v>
      </c>
      <c r="C8" s="2" t="s">
        <v>37</v>
      </c>
      <c r="D8" s="1">
        <v>35</v>
      </c>
      <c r="E8" t="s">
        <v>59</v>
      </c>
      <c r="F8" s="7">
        <v>32569</v>
      </c>
      <c r="G8" s="6">
        <v>45787</v>
      </c>
      <c r="J8" s="11">
        <v>61</v>
      </c>
      <c r="K8" s="11">
        <v>80</v>
      </c>
      <c r="L8" s="11">
        <v>74</v>
      </c>
      <c r="M8" s="11">
        <f t="shared" si="0"/>
        <v>225</v>
      </c>
      <c r="O8" s="11">
        <f t="shared" si="1"/>
        <v>80</v>
      </c>
      <c r="P8" s="11">
        <f t="shared" si="2"/>
        <v>61</v>
      </c>
      <c r="Q8" s="14">
        <f t="shared" si="3"/>
        <v>71.666666666666671</v>
      </c>
      <c r="R8" s="11">
        <f t="shared" si="4"/>
        <v>3</v>
      </c>
    </row>
    <row r="9" spans="1:18" x14ac:dyDescent="0.3">
      <c r="A9" s="1">
        <v>7</v>
      </c>
      <c r="B9" s="3" t="s">
        <v>13</v>
      </c>
      <c r="C9" s="2" t="s">
        <v>38</v>
      </c>
      <c r="D9" s="1">
        <v>32</v>
      </c>
      <c r="E9" t="s">
        <v>57</v>
      </c>
      <c r="F9" s="7">
        <v>14569</v>
      </c>
      <c r="G9" s="6">
        <v>45788</v>
      </c>
      <c r="J9" s="11">
        <v>45</v>
      </c>
      <c r="K9" s="11">
        <v>65</v>
      </c>
      <c r="L9" s="11">
        <v>70</v>
      </c>
      <c r="M9" s="11">
        <f t="shared" si="0"/>
        <v>190</v>
      </c>
      <c r="O9" s="11">
        <f t="shared" si="1"/>
        <v>70</v>
      </c>
      <c r="P9" s="11">
        <f t="shared" si="2"/>
        <v>45</v>
      </c>
      <c r="Q9" s="14">
        <f t="shared" si="3"/>
        <v>60</v>
      </c>
      <c r="R9" s="11">
        <f t="shared" si="4"/>
        <v>3</v>
      </c>
    </row>
    <row r="10" spans="1:18" x14ac:dyDescent="0.3">
      <c r="A10" s="1">
        <v>8</v>
      </c>
      <c r="B10" s="3" t="s">
        <v>14</v>
      </c>
      <c r="C10" s="2" t="s">
        <v>39</v>
      </c>
      <c r="D10" s="1">
        <v>38</v>
      </c>
      <c r="E10" t="s">
        <v>57</v>
      </c>
      <c r="F10" s="7">
        <v>65489</v>
      </c>
      <c r="G10" s="6">
        <v>45789</v>
      </c>
      <c r="J10" s="11">
        <v>81</v>
      </c>
      <c r="K10" s="11">
        <v>75</v>
      </c>
      <c r="L10" s="11">
        <v>27</v>
      </c>
      <c r="M10" s="11">
        <f t="shared" si="0"/>
        <v>193</v>
      </c>
      <c r="O10" s="11">
        <f t="shared" si="1"/>
        <v>81</v>
      </c>
      <c r="P10" s="11">
        <f t="shared" si="2"/>
        <v>27</v>
      </c>
      <c r="Q10" s="14">
        <f t="shared" si="3"/>
        <v>61</v>
      </c>
      <c r="R10" s="11">
        <f t="shared" si="4"/>
        <v>3</v>
      </c>
    </row>
    <row r="11" spans="1:18" x14ac:dyDescent="0.3">
      <c r="A11" s="1">
        <v>9</v>
      </c>
      <c r="B11" s="3" t="s">
        <v>15</v>
      </c>
      <c r="C11" s="2" t="s">
        <v>40</v>
      </c>
      <c r="D11" s="1">
        <v>49</v>
      </c>
      <c r="E11" t="s">
        <v>60</v>
      </c>
      <c r="F11" s="7">
        <v>98563</v>
      </c>
      <c r="G11" s="6">
        <v>45790</v>
      </c>
      <c r="J11" s="11">
        <v>42</v>
      </c>
      <c r="K11" s="11">
        <v>91</v>
      </c>
      <c r="L11" s="11">
        <v>64</v>
      </c>
      <c r="M11" s="11">
        <f t="shared" si="0"/>
        <v>207</v>
      </c>
      <c r="O11" s="11">
        <f t="shared" si="1"/>
        <v>91</v>
      </c>
      <c r="P11" s="11">
        <f t="shared" si="2"/>
        <v>42</v>
      </c>
      <c r="Q11" s="14">
        <f t="shared" si="3"/>
        <v>65.666666666666671</v>
      </c>
      <c r="R11" s="11">
        <f t="shared" si="4"/>
        <v>3</v>
      </c>
    </row>
    <row r="12" spans="1:18" x14ac:dyDescent="0.3">
      <c r="A12" s="1">
        <v>10</v>
      </c>
      <c r="B12" s="3" t="s">
        <v>16</v>
      </c>
      <c r="C12" s="2" t="s">
        <v>41</v>
      </c>
      <c r="D12" s="1">
        <v>47</v>
      </c>
      <c r="E12" t="s">
        <v>61</v>
      </c>
      <c r="F12" s="7">
        <v>65236</v>
      </c>
      <c r="G12" s="6">
        <v>45791</v>
      </c>
      <c r="J12" s="11">
        <v>95</v>
      </c>
      <c r="K12" s="11">
        <v>36</v>
      </c>
      <c r="L12" s="11">
        <v>26</v>
      </c>
      <c r="M12" s="11">
        <f t="shared" si="0"/>
        <v>167</v>
      </c>
      <c r="O12" s="11">
        <f t="shared" si="1"/>
        <v>95</v>
      </c>
      <c r="P12" s="11">
        <f t="shared" si="2"/>
        <v>26</v>
      </c>
      <c r="Q12" s="14">
        <f t="shared" si="3"/>
        <v>52.333333333333336</v>
      </c>
      <c r="R12" s="11">
        <f t="shared" si="4"/>
        <v>3</v>
      </c>
    </row>
    <row r="13" spans="1:18" x14ac:dyDescent="0.3">
      <c r="A13" s="1">
        <v>11</v>
      </c>
      <c r="B13" s="3" t="s">
        <v>17</v>
      </c>
      <c r="C13" s="2" t="s">
        <v>42</v>
      </c>
      <c r="D13" s="1">
        <v>28</v>
      </c>
      <c r="E13" t="s">
        <v>60</v>
      </c>
      <c r="F13" s="7">
        <v>58746</v>
      </c>
      <c r="G13" s="6">
        <v>45792</v>
      </c>
      <c r="J13" s="11">
        <v>75</v>
      </c>
      <c r="K13" s="11">
        <v>82</v>
      </c>
      <c r="L13" s="11">
        <v>54</v>
      </c>
      <c r="M13" s="11">
        <f t="shared" si="0"/>
        <v>221</v>
      </c>
      <c r="O13" s="11">
        <f t="shared" si="1"/>
        <v>82</v>
      </c>
      <c r="P13" s="11">
        <f t="shared" si="2"/>
        <v>54</v>
      </c>
      <c r="Q13" s="14">
        <f t="shared" si="3"/>
        <v>70.333333333333329</v>
      </c>
      <c r="R13" s="11">
        <f t="shared" si="4"/>
        <v>3</v>
      </c>
    </row>
    <row r="14" spans="1:18" x14ac:dyDescent="0.3">
      <c r="A14" s="1">
        <v>12</v>
      </c>
      <c r="B14" s="3" t="s">
        <v>18</v>
      </c>
      <c r="C14" s="2" t="s">
        <v>43</v>
      </c>
      <c r="D14" s="1">
        <v>49</v>
      </c>
      <c r="E14" t="s">
        <v>57</v>
      </c>
      <c r="F14" s="7">
        <v>45758</v>
      </c>
      <c r="G14" s="6">
        <v>45793</v>
      </c>
      <c r="J14" s="11">
        <v>34</v>
      </c>
      <c r="K14" s="11">
        <v>91</v>
      </c>
      <c r="L14" s="11">
        <v>36</v>
      </c>
      <c r="M14" s="11">
        <f t="shared" si="0"/>
        <v>171</v>
      </c>
      <c r="O14" s="11">
        <f t="shared" si="1"/>
        <v>91</v>
      </c>
      <c r="P14" s="11">
        <f t="shared" si="2"/>
        <v>34</v>
      </c>
      <c r="Q14" s="14">
        <f t="shared" si="3"/>
        <v>53.666666666666664</v>
      </c>
      <c r="R14" s="11">
        <f t="shared" si="4"/>
        <v>3</v>
      </c>
    </row>
    <row r="15" spans="1:18" x14ac:dyDescent="0.3">
      <c r="A15" s="1">
        <v>13</v>
      </c>
      <c r="B15" s="3" t="s">
        <v>19</v>
      </c>
      <c r="C15" s="2" t="s">
        <v>44</v>
      </c>
      <c r="D15" s="1">
        <v>55</v>
      </c>
      <c r="E15" t="s">
        <v>57</v>
      </c>
      <c r="F15" s="7">
        <v>32569</v>
      </c>
      <c r="G15" s="6">
        <v>45794</v>
      </c>
      <c r="J15" s="11">
        <v>25</v>
      </c>
      <c r="K15" s="11">
        <v>21</v>
      </c>
      <c r="L15" s="11">
        <v>22</v>
      </c>
      <c r="M15" s="11">
        <f t="shared" si="0"/>
        <v>78</v>
      </c>
      <c r="O15" s="11">
        <f t="shared" si="1"/>
        <v>25</v>
      </c>
      <c r="P15" s="11">
        <f t="shared" si="2"/>
        <v>21</v>
      </c>
      <c r="Q15" s="14">
        <f t="shared" si="3"/>
        <v>22.666666666666668</v>
      </c>
      <c r="R15" s="11">
        <f t="shared" si="4"/>
        <v>3</v>
      </c>
    </row>
    <row r="16" spans="1:18" x14ac:dyDescent="0.3">
      <c r="A16" s="1">
        <v>14</v>
      </c>
      <c r="B16" s="3" t="s">
        <v>20</v>
      </c>
      <c r="C16" s="2" t="s">
        <v>45</v>
      </c>
      <c r="D16" s="1">
        <v>51</v>
      </c>
      <c r="E16" t="s">
        <v>58</v>
      </c>
      <c r="F16" s="7">
        <v>21036</v>
      </c>
      <c r="G16" s="6">
        <v>45795</v>
      </c>
      <c r="J16" s="11">
        <v>74</v>
      </c>
      <c r="K16" s="11">
        <v>25</v>
      </c>
      <c r="L16" s="11">
        <v>10</v>
      </c>
      <c r="M16" s="11">
        <f t="shared" si="0"/>
        <v>119</v>
      </c>
      <c r="O16" s="11">
        <f t="shared" si="1"/>
        <v>74</v>
      </c>
      <c r="P16" s="11">
        <f t="shared" si="2"/>
        <v>10</v>
      </c>
      <c r="Q16" s="14">
        <f t="shared" si="3"/>
        <v>36.333333333333336</v>
      </c>
      <c r="R16" s="11">
        <f t="shared" si="4"/>
        <v>3</v>
      </c>
    </row>
    <row r="17" spans="1:18" x14ac:dyDescent="0.3">
      <c r="A17" s="1">
        <v>15</v>
      </c>
      <c r="B17" s="3" t="s">
        <v>21</v>
      </c>
      <c r="C17" s="2" t="s">
        <v>46</v>
      </c>
      <c r="D17" s="1">
        <v>20</v>
      </c>
      <c r="E17" t="s">
        <v>59</v>
      </c>
      <c r="F17" s="7">
        <v>65984</v>
      </c>
      <c r="G17" s="6">
        <v>45796</v>
      </c>
      <c r="J17" s="12">
        <f t="shared" ref="J17:L17" si="5">SUM(J5:J16)</f>
        <v>684</v>
      </c>
      <c r="K17" s="12">
        <f t="shared" si="5"/>
        <v>680</v>
      </c>
      <c r="L17" s="12">
        <f t="shared" si="5"/>
        <v>554</v>
      </c>
      <c r="M17" s="11"/>
      <c r="O17" s="11"/>
      <c r="P17" s="11"/>
      <c r="Q17" s="11"/>
      <c r="R17" s="11"/>
    </row>
    <row r="18" spans="1:18" x14ac:dyDescent="0.3">
      <c r="A18" s="1">
        <v>16</v>
      </c>
      <c r="B18" s="3" t="s">
        <v>22</v>
      </c>
      <c r="C18" s="2" t="s">
        <v>47</v>
      </c>
      <c r="D18" s="1">
        <v>30</v>
      </c>
      <c r="E18" t="s">
        <v>59</v>
      </c>
      <c r="F18" s="7">
        <v>20202</v>
      </c>
      <c r="G18" s="6">
        <v>45797</v>
      </c>
      <c r="J18" s="11"/>
      <c r="K18" s="11"/>
      <c r="L18" s="11"/>
      <c r="M18" s="11"/>
      <c r="O18" s="11"/>
      <c r="P18" s="11"/>
      <c r="Q18" s="11"/>
      <c r="R18" s="11"/>
    </row>
    <row r="19" spans="1:18" x14ac:dyDescent="0.3">
      <c r="A19" s="1">
        <v>17</v>
      </c>
      <c r="B19" s="3" t="s">
        <v>23</v>
      </c>
      <c r="C19" s="2" t="s">
        <v>48</v>
      </c>
      <c r="D19" s="1">
        <v>40</v>
      </c>
      <c r="E19" t="s">
        <v>61</v>
      </c>
      <c r="F19" s="7">
        <v>36974</v>
      </c>
      <c r="G19" s="6">
        <v>45798</v>
      </c>
      <c r="J19" s="11"/>
      <c r="K19" s="11"/>
      <c r="L19" s="11"/>
      <c r="M19" s="11"/>
      <c r="O19" s="11"/>
      <c r="P19" s="11"/>
      <c r="Q19" s="11"/>
      <c r="R19" s="11"/>
    </row>
    <row r="20" spans="1:18" x14ac:dyDescent="0.3">
      <c r="A20" s="1">
        <v>18</v>
      </c>
      <c r="B20" s="3" t="s">
        <v>24</v>
      </c>
      <c r="C20" s="2" t="s">
        <v>49</v>
      </c>
      <c r="D20" s="1">
        <v>49</v>
      </c>
      <c r="E20" t="s">
        <v>60</v>
      </c>
      <c r="F20" s="7">
        <v>1568</v>
      </c>
      <c r="G20" s="6">
        <v>45799</v>
      </c>
      <c r="J20" s="12" t="s">
        <v>66</v>
      </c>
      <c r="K20" s="11"/>
      <c r="L20" s="11"/>
      <c r="M20" s="11"/>
      <c r="O20" s="11"/>
      <c r="P20" s="11"/>
      <c r="Q20" s="11"/>
      <c r="R20" s="11"/>
    </row>
    <row r="21" spans="1:18" x14ac:dyDescent="0.3">
      <c r="A21" s="1">
        <v>19</v>
      </c>
      <c r="B21" s="3" t="s">
        <v>25</v>
      </c>
      <c r="C21" s="2" t="s">
        <v>50</v>
      </c>
      <c r="D21" s="1">
        <v>43</v>
      </c>
      <c r="E21" t="s">
        <v>60</v>
      </c>
      <c r="F21" s="7">
        <v>98654</v>
      </c>
      <c r="G21" s="6">
        <v>45800</v>
      </c>
      <c r="J21" s="11">
        <v>10</v>
      </c>
      <c r="K21" s="11"/>
      <c r="L21" s="11"/>
      <c r="M21" s="11"/>
      <c r="O21" s="11"/>
      <c r="P21" s="11"/>
      <c r="Q21" s="11"/>
      <c r="R21" s="11"/>
    </row>
    <row r="22" spans="1:18" x14ac:dyDescent="0.3">
      <c r="A22" s="1">
        <v>20</v>
      </c>
      <c r="B22" s="3" t="s">
        <v>26</v>
      </c>
      <c r="C22" s="2" t="s">
        <v>51</v>
      </c>
      <c r="D22" s="1">
        <v>38</v>
      </c>
      <c r="E22" t="s">
        <v>60</v>
      </c>
      <c r="F22" s="7">
        <v>96325</v>
      </c>
      <c r="G22" s="6">
        <v>45801</v>
      </c>
    </row>
    <row r="23" spans="1:18" x14ac:dyDescent="0.3">
      <c r="A23" s="1">
        <v>21</v>
      </c>
      <c r="B23" s="3" t="s">
        <v>27</v>
      </c>
      <c r="C23" s="2" t="s">
        <v>52</v>
      </c>
      <c r="D23" s="1">
        <v>29</v>
      </c>
      <c r="E23" t="s">
        <v>58</v>
      </c>
      <c r="F23" s="7">
        <v>98745</v>
      </c>
      <c r="G23" s="6">
        <v>45802</v>
      </c>
    </row>
    <row r="24" spans="1:18" x14ac:dyDescent="0.3">
      <c r="A24" s="1">
        <v>22</v>
      </c>
      <c r="B24" s="3" t="s">
        <v>28</v>
      </c>
      <c r="C24" s="2" t="s">
        <v>53</v>
      </c>
      <c r="D24" s="1">
        <v>46</v>
      </c>
      <c r="E24" t="s">
        <v>58</v>
      </c>
      <c r="F24" s="7">
        <v>65896</v>
      </c>
      <c r="G24" s="6">
        <v>45803</v>
      </c>
    </row>
    <row r="25" spans="1:18" x14ac:dyDescent="0.3">
      <c r="A25" s="1">
        <v>23</v>
      </c>
      <c r="B25" s="3" t="s">
        <v>29</v>
      </c>
      <c r="C25" s="2" t="s">
        <v>54</v>
      </c>
      <c r="D25" s="1">
        <v>19</v>
      </c>
      <c r="E25" t="s">
        <v>57</v>
      </c>
      <c r="F25" s="7">
        <v>99654</v>
      </c>
      <c r="G25" s="6">
        <v>45804</v>
      </c>
    </row>
    <row r="26" spans="1:18" x14ac:dyDescent="0.3">
      <c r="A26" s="1">
        <v>24</v>
      </c>
      <c r="B26" s="3" t="s">
        <v>30</v>
      </c>
      <c r="C26" s="2" t="s">
        <v>55</v>
      </c>
      <c r="D26" s="1">
        <v>22</v>
      </c>
      <c r="E26" t="s">
        <v>57</v>
      </c>
      <c r="F26" s="7">
        <v>98230</v>
      </c>
      <c r="G26" s="6">
        <v>45805</v>
      </c>
    </row>
    <row r="27" spans="1:18" x14ac:dyDescent="0.3">
      <c r="A27" s="1">
        <v>25</v>
      </c>
      <c r="B27" s="3" t="s">
        <v>31</v>
      </c>
      <c r="C27" s="2" t="s">
        <v>56</v>
      </c>
      <c r="D27" s="1">
        <v>28</v>
      </c>
      <c r="E27" t="s">
        <v>59</v>
      </c>
      <c r="F27" s="7">
        <v>74598</v>
      </c>
      <c r="G27" s="6">
        <v>45806</v>
      </c>
    </row>
    <row r="28" spans="1:18" x14ac:dyDescent="0.3">
      <c r="F28" s="8">
        <f>SUM(F3:F27)</f>
        <v>1603258</v>
      </c>
    </row>
  </sheetData>
  <conditionalFormatting sqref="F3:F27">
    <cfRule type="cellIs" dxfId="5" priority="8" operator="greaterThan">
      <formula>75000</formula>
    </cfRule>
  </conditionalFormatting>
  <conditionalFormatting sqref="E3:E27">
    <cfRule type="containsText" dxfId="4" priority="7" operator="containsText" text="sales">
      <formula>NOT(ISERROR(SEARCH("sales",E3)))</formula>
    </cfRule>
  </conditionalFormatting>
  <conditionalFormatting sqref="J5:L16">
    <cfRule type="top10" dxfId="3" priority="6" rank="10"/>
  </conditionalFormatting>
  <conditionalFormatting sqref="O5:P16">
    <cfRule type="iconSet" priority="5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Q5:Q16">
    <cfRule type="iconSet" priority="4">
      <iconSet iconSet="3Symbols2">
        <cfvo type="percent" val="0"/>
        <cfvo type="percent" val="33"/>
        <cfvo type="percent" val="67"/>
      </iconSet>
    </cfRule>
  </conditionalFormatting>
  <conditionalFormatting sqref="A3:G27">
    <cfRule type="expression" dxfId="2" priority="1">
      <formula>$E3=$H$3</formula>
    </cfRule>
    <cfRule type="expression" dxfId="1" priority="2">
      <formula>$E$3</formula>
    </cfRule>
    <cfRule type="expression" dxfId="0" priority="3">
      <formula>$E3="IT"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2"/>
  <sheetViews>
    <sheetView topLeftCell="A2" workbookViewId="0">
      <selection activeCell="A3" sqref="A3:G12"/>
    </sheetView>
  </sheetViews>
  <sheetFormatPr defaultRowHeight="14.4" x14ac:dyDescent="0.3"/>
  <cols>
    <col min="1" max="1" width="10.44140625" bestFit="1" customWidth="1"/>
    <col min="2" max="2" width="19.44140625" bestFit="1" customWidth="1"/>
    <col min="3" max="3" width="11" customWidth="1"/>
    <col min="4" max="4" width="10.88671875" bestFit="1" customWidth="1"/>
    <col min="5" max="5" width="17.88671875" style="1" customWidth="1"/>
    <col min="6" max="6" width="6.33203125" style="1" bestFit="1" customWidth="1"/>
    <col min="7" max="7" width="11.44140625" bestFit="1" customWidth="1"/>
    <col min="10" max="10" width="62.109375" bestFit="1" customWidth="1"/>
  </cols>
  <sheetData>
    <row r="2" spans="1:10" s="9" customFormat="1" x14ac:dyDescent="0.3">
      <c r="A2" s="9" t="s">
        <v>72</v>
      </c>
      <c r="B2" s="9" t="s">
        <v>73</v>
      </c>
      <c r="C2" s="9" t="s">
        <v>74</v>
      </c>
      <c r="D2" s="9" t="s">
        <v>75</v>
      </c>
      <c r="E2" s="9" t="s">
        <v>76</v>
      </c>
      <c r="F2" s="9" t="s">
        <v>77</v>
      </c>
      <c r="G2" s="9" t="s">
        <v>78</v>
      </c>
    </row>
    <row r="3" spans="1:10" x14ac:dyDescent="0.3">
      <c r="A3">
        <v>101</v>
      </c>
      <c r="B3" t="s">
        <v>79</v>
      </c>
      <c r="C3" t="s">
        <v>86</v>
      </c>
      <c r="D3" s="15">
        <v>799</v>
      </c>
      <c r="E3" s="1">
        <v>50</v>
      </c>
      <c r="F3" s="1">
        <v>4.5</v>
      </c>
      <c r="G3" t="s">
        <v>89</v>
      </c>
    </row>
    <row r="4" spans="1:10" x14ac:dyDescent="0.3">
      <c r="A4">
        <v>102</v>
      </c>
      <c r="B4" t="s">
        <v>80</v>
      </c>
      <c r="C4" t="s">
        <v>86</v>
      </c>
      <c r="D4" s="15">
        <v>999</v>
      </c>
      <c r="E4" s="1">
        <v>30</v>
      </c>
      <c r="F4" s="1">
        <v>4.7</v>
      </c>
      <c r="G4" t="s">
        <v>90</v>
      </c>
    </row>
    <row r="5" spans="1:10" x14ac:dyDescent="0.3">
      <c r="A5">
        <v>103</v>
      </c>
      <c r="B5" t="s">
        <v>81</v>
      </c>
      <c r="C5" t="s">
        <v>87</v>
      </c>
      <c r="D5" s="15">
        <v>399</v>
      </c>
      <c r="E5" s="1">
        <v>15</v>
      </c>
      <c r="F5" s="1">
        <v>4.5999999999999996</v>
      </c>
      <c r="G5" t="s">
        <v>91</v>
      </c>
    </row>
    <row r="6" spans="1:10" x14ac:dyDescent="0.3">
      <c r="A6">
        <v>104</v>
      </c>
      <c r="B6" t="s">
        <v>82</v>
      </c>
      <c r="C6" t="s">
        <v>88</v>
      </c>
      <c r="D6" s="15">
        <v>1249</v>
      </c>
      <c r="E6" s="1">
        <v>10</v>
      </c>
      <c r="F6" s="1">
        <v>4.8</v>
      </c>
      <c r="G6" t="s">
        <v>92</v>
      </c>
    </row>
    <row r="7" spans="1:10" x14ac:dyDescent="0.3">
      <c r="A7">
        <v>101</v>
      </c>
      <c r="B7" t="s">
        <v>79</v>
      </c>
      <c r="C7" t="s">
        <v>86</v>
      </c>
      <c r="D7" s="15">
        <v>799</v>
      </c>
      <c r="E7" s="1">
        <v>50</v>
      </c>
      <c r="F7" s="1">
        <v>4.5</v>
      </c>
      <c r="G7" t="s">
        <v>89</v>
      </c>
      <c r="J7" s="11" t="s">
        <v>98</v>
      </c>
    </row>
    <row r="8" spans="1:10" x14ac:dyDescent="0.3">
      <c r="A8">
        <v>105</v>
      </c>
      <c r="B8" t="s">
        <v>83</v>
      </c>
      <c r="C8" t="s">
        <v>88</v>
      </c>
      <c r="D8" s="15">
        <v>1349</v>
      </c>
      <c r="E8" s="1">
        <v>8</v>
      </c>
      <c r="F8" s="1">
        <v>4.7</v>
      </c>
      <c r="G8" t="s">
        <v>93</v>
      </c>
    </row>
    <row r="9" spans="1:10" x14ac:dyDescent="0.3">
      <c r="A9">
        <v>106</v>
      </c>
      <c r="B9" t="s">
        <v>84</v>
      </c>
      <c r="C9" t="s">
        <v>87</v>
      </c>
      <c r="D9" s="15">
        <v>329</v>
      </c>
      <c r="E9" s="1">
        <v>25</v>
      </c>
      <c r="F9" s="1">
        <v>4.4000000000000004</v>
      </c>
      <c r="G9" t="s">
        <v>91</v>
      </c>
    </row>
    <row r="10" spans="1:10" x14ac:dyDescent="0.3">
      <c r="A10">
        <v>107</v>
      </c>
      <c r="B10" t="s">
        <v>81</v>
      </c>
      <c r="C10" t="s">
        <v>87</v>
      </c>
      <c r="D10" s="15">
        <v>399</v>
      </c>
      <c r="E10" s="1">
        <v>15</v>
      </c>
      <c r="F10" s="1">
        <v>4.5999999999999996</v>
      </c>
      <c r="G10" t="s">
        <v>91</v>
      </c>
    </row>
    <row r="11" spans="1:10" x14ac:dyDescent="0.3">
      <c r="A11">
        <v>108</v>
      </c>
      <c r="B11" t="s">
        <v>85</v>
      </c>
      <c r="C11" t="s">
        <v>88</v>
      </c>
      <c r="D11" s="15">
        <v>1299</v>
      </c>
      <c r="E11" s="1">
        <v>6</v>
      </c>
      <c r="F11" s="1">
        <v>4.8</v>
      </c>
      <c r="G11" t="s">
        <v>92</v>
      </c>
    </row>
    <row r="12" spans="1:10" x14ac:dyDescent="0.3">
      <c r="A12">
        <v>103</v>
      </c>
      <c r="B12" t="s">
        <v>81</v>
      </c>
      <c r="C12" t="s">
        <v>87</v>
      </c>
      <c r="D12" s="15">
        <v>399</v>
      </c>
      <c r="E12" s="1">
        <v>15</v>
      </c>
      <c r="F12" s="1">
        <v>4.5999999999999996</v>
      </c>
      <c r="G12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4"/>
  <sheetViews>
    <sheetView workbookViewId="0">
      <selection activeCell="A2" sqref="A2:XFD2"/>
    </sheetView>
  </sheetViews>
  <sheetFormatPr defaultRowHeight="14.4" x14ac:dyDescent="0.3"/>
  <cols>
    <col min="1" max="1" width="13.6640625" customWidth="1"/>
    <col min="2" max="2" width="12" bestFit="1" customWidth="1"/>
    <col min="3" max="3" width="13.33203125" customWidth="1"/>
    <col min="4" max="4" width="11" bestFit="1" customWidth="1"/>
    <col min="8" max="8" width="69" bestFit="1" customWidth="1"/>
  </cols>
  <sheetData>
    <row r="2" spans="1:8" s="16" customFormat="1" x14ac:dyDescent="0.3">
      <c r="A2" s="17" t="s">
        <v>94</v>
      </c>
      <c r="B2" s="17" t="s">
        <v>5</v>
      </c>
      <c r="C2" s="17" t="s">
        <v>6</v>
      </c>
      <c r="D2" s="17" t="s">
        <v>95</v>
      </c>
    </row>
    <row r="3" spans="1:8" x14ac:dyDescent="0.3">
      <c r="A3" t="s">
        <v>7</v>
      </c>
      <c r="B3" t="s">
        <v>32</v>
      </c>
      <c r="C3" t="s">
        <v>57</v>
      </c>
      <c r="D3">
        <v>9212345678</v>
      </c>
    </row>
    <row r="4" spans="1:8" x14ac:dyDescent="0.3">
      <c r="A4" t="s">
        <v>8</v>
      </c>
      <c r="B4" t="s">
        <v>33</v>
      </c>
      <c r="C4" t="s">
        <v>58</v>
      </c>
      <c r="D4">
        <v>9212345679</v>
      </c>
    </row>
    <row r="5" spans="1:8" x14ac:dyDescent="0.3">
      <c r="A5" t="s">
        <v>9</v>
      </c>
      <c r="B5" t="s">
        <v>34</v>
      </c>
      <c r="C5" t="s">
        <v>59</v>
      </c>
      <c r="D5">
        <v>9212345680</v>
      </c>
    </row>
    <row r="6" spans="1:8" x14ac:dyDescent="0.3">
      <c r="A6" t="s">
        <v>10</v>
      </c>
      <c r="B6" t="s">
        <v>35</v>
      </c>
      <c r="C6" t="s">
        <v>57</v>
      </c>
      <c r="D6">
        <v>9212345681</v>
      </c>
      <c r="H6" s="11" t="s">
        <v>99</v>
      </c>
    </row>
    <row r="7" spans="1:8" x14ac:dyDescent="0.3">
      <c r="A7" t="s">
        <v>11</v>
      </c>
      <c r="B7" t="s">
        <v>36</v>
      </c>
      <c r="C7" t="s">
        <v>58</v>
      </c>
      <c r="D7">
        <v>9212345682</v>
      </c>
    </row>
    <row r="8" spans="1:8" x14ac:dyDescent="0.3">
      <c r="A8" t="s">
        <v>12</v>
      </c>
      <c r="B8" t="s">
        <v>37</v>
      </c>
      <c r="C8" t="s">
        <v>58</v>
      </c>
      <c r="D8">
        <v>9212345683</v>
      </c>
    </row>
    <row r="9" spans="1:8" x14ac:dyDescent="0.3">
      <c r="A9" t="s">
        <v>13</v>
      </c>
      <c r="B9" t="s">
        <v>38</v>
      </c>
      <c r="C9" t="s">
        <v>59</v>
      </c>
      <c r="D9">
        <v>9212345684</v>
      </c>
    </row>
    <row r="10" spans="1:8" x14ac:dyDescent="0.3">
      <c r="A10" t="s">
        <v>14</v>
      </c>
      <c r="B10" t="s">
        <v>39</v>
      </c>
      <c r="C10" t="s">
        <v>57</v>
      </c>
      <c r="D10">
        <v>9212345685</v>
      </c>
    </row>
    <row r="11" spans="1:8" x14ac:dyDescent="0.3">
      <c r="A11" t="s">
        <v>15</v>
      </c>
      <c r="B11" t="s">
        <v>40</v>
      </c>
      <c r="C11" t="s">
        <v>58</v>
      </c>
      <c r="D11">
        <v>9212345686</v>
      </c>
    </row>
    <row r="12" spans="1:8" x14ac:dyDescent="0.3">
      <c r="A12" t="s">
        <v>16</v>
      </c>
      <c r="B12" t="s">
        <v>41</v>
      </c>
      <c r="C12" t="s">
        <v>59</v>
      </c>
      <c r="D12">
        <v>9212345687</v>
      </c>
    </row>
    <row r="13" spans="1:8" x14ac:dyDescent="0.3">
      <c r="A13" t="s">
        <v>17</v>
      </c>
      <c r="B13" t="s">
        <v>42</v>
      </c>
      <c r="C13" t="s">
        <v>59</v>
      </c>
      <c r="D13">
        <v>9212345680</v>
      </c>
    </row>
    <row r="14" spans="1:8" x14ac:dyDescent="0.3">
      <c r="A14" t="s">
        <v>18</v>
      </c>
      <c r="B14" t="s">
        <v>43</v>
      </c>
      <c r="C14" t="s">
        <v>57</v>
      </c>
      <c r="D14">
        <v>9212345682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9"/>
  <sheetViews>
    <sheetView workbookViewId="0">
      <selection activeCell="D9" sqref="D9"/>
    </sheetView>
  </sheetViews>
  <sheetFormatPr defaultRowHeight="14.4" x14ac:dyDescent="0.3"/>
  <cols>
    <col min="1" max="1" width="12" bestFit="1" customWidth="1"/>
    <col min="2" max="2" width="13.109375" bestFit="1" customWidth="1"/>
    <col min="3" max="3" width="11.77734375" style="1" bestFit="1" customWidth="1"/>
    <col min="4" max="4" width="13.88671875" customWidth="1"/>
    <col min="12" max="12" width="69.77734375" bestFit="1" customWidth="1"/>
  </cols>
  <sheetData>
    <row r="2" spans="1:12" s="16" customFormat="1" x14ac:dyDescent="0.3">
      <c r="A2" s="17" t="s">
        <v>94</v>
      </c>
      <c r="B2" s="17" t="s">
        <v>5</v>
      </c>
      <c r="C2" s="22" t="s">
        <v>6</v>
      </c>
      <c r="D2" s="17" t="s">
        <v>95</v>
      </c>
    </row>
    <row r="3" spans="1:12" x14ac:dyDescent="0.3">
      <c r="A3" t="s">
        <v>261</v>
      </c>
      <c r="B3" t="s">
        <v>267</v>
      </c>
      <c r="C3" s="1" t="s">
        <v>273</v>
      </c>
      <c r="D3">
        <v>2152032659</v>
      </c>
    </row>
    <row r="4" spans="1:12" x14ac:dyDescent="0.3">
      <c r="A4" t="s">
        <v>262</v>
      </c>
      <c r="B4" t="s">
        <v>268</v>
      </c>
      <c r="C4" s="1" t="s">
        <v>273</v>
      </c>
      <c r="D4">
        <v>6523021456</v>
      </c>
      <c r="L4" t="s">
        <v>259</v>
      </c>
    </row>
    <row r="5" spans="1:12" x14ac:dyDescent="0.3">
      <c r="A5" t="s">
        <v>263</v>
      </c>
      <c r="B5" t="s">
        <v>269</v>
      </c>
      <c r="C5" s="1" t="s">
        <v>273</v>
      </c>
      <c r="D5">
        <v>2658963314</v>
      </c>
      <c r="L5" t="s">
        <v>260</v>
      </c>
    </row>
    <row r="6" spans="1:12" x14ac:dyDescent="0.3">
      <c r="A6" t="s">
        <v>264</v>
      </c>
      <c r="B6" t="s">
        <v>270</v>
      </c>
      <c r="C6" s="1" t="s">
        <v>273</v>
      </c>
      <c r="D6">
        <v>3659874561</v>
      </c>
    </row>
    <row r="7" spans="1:12" x14ac:dyDescent="0.3">
      <c r="A7" t="s">
        <v>265</v>
      </c>
      <c r="B7" t="s">
        <v>271</v>
      </c>
      <c r="C7" s="1" t="s">
        <v>273</v>
      </c>
      <c r="D7">
        <v>2012458796</v>
      </c>
    </row>
    <row r="8" spans="1:12" x14ac:dyDescent="0.3">
      <c r="A8" t="s">
        <v>266</v>
      </c>
      <c r="B8" t="s">
        <v>272</v>
      </c>
      <c r="C8" s="1" t="s">
        <v>273</v>
      </c>
      <c r="D8">
        <v>5469852206</v>
      </c>
    </row>
    <row r="9" spans="1:12" x14ac:dyDescent="0.3">
      <c r="L9" t="s">
        <v>274</v>
      </c>
    </row>
  </sheetData>
  <dataValidations count="1">
    <dataValidation type="textLength" allowBlank="1" showInputMessage="1" showErrorMessage="1" sqref="D1:D1048576">
      <formula1>10</formula1>
      <formula2>10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41"/>
  <sheetViews>
    <sheetView workbookViewId="0">
      <selection activeCell="J20" sqref="J20"/>
    </sheetView>
  </sheetViews>
  <sheetFormatPr defaultRowHeight="14.4" x14ac:dyDescent="0.3"/>
  <cols>
    <col min="1" max="1" width="4.88671875" style="1" bestFit="1" customWidth="1"/>
    <col min="2" max="2" width="9.77734375" style="3" bestFit="1" customWidth="1"/>
    <col min="3" max="3" width="12" style="2" bestFit="1" customWidth="1"/>
    <col min="4" max="4" width="8.88671875" style="1"/>
    <col min="5" max="5" width="11.109375" bestFit="1" customWidth="1"/>
    <col min="6" max="6" width="15.77734375" bestFit="1" customWidth="1"/>
    <col min="7" max="7" width="18.5546875" bestFit="1" customWidth="1"/>
    <col min="11" max="11" width="54.77734375" bestFit="1" customWidth="1"/>
  </cols>
  <sheetData>
    <row r="2" spans="1:11" s="4" customFormat="1" x14ac:dyDescent="0.3">
      <c r="A2" s="5" t="s">
        <v>0</v>
      </c>
      <c r="B2" s="5" t="s">
        <v>1</v>
      </c>
      <c r="C2" s="5" t="s">
        <v>5</v>
      </c>
      <c r="D2" s="5" t="s">
        <v>2</v>
      </c>
      <c r="E2" s="5" t="s">
        <v>6</v>
      </c>
      <c r="F2" s="5" t="s">
        <v>3</v>
      </c>
      <c r="G2" s="5" t="s">
        <v>4</v>
      </c>
    </row>
    <row r="3" spans="1:11" x14ac:dyDescent="0.3">
      <c r="A3" s="1">
        <v>1</v>
      </c>
      <c r="B3" s="3" t="s">
        <v>7</v>
      </c>
      <c r="C3" s="2" t="s">
        <v>32</v>
      </c>
      <c r="D3" s="1">
        <v>35</v>
      </c>
      <c r="E3" t="s">
        <v>57</v>
      </c>
      <c r="F3" s="7">
        <v>65985</v>
      </c>
      <c r="G3" s="6">
        <v>45782</v>
      </c>
    </row>
    <row r="4" spans="1:11" x14ac:dyDescent="0.3">
      <c r="A4" s="1">
        <v>2</v>
      </c>
      <c r="B4" s="3" t="s">
        <v>8</v>
      </c>
      <c r="C4" s="2" t="s">
        <v>33</v>
      </c>
      <c r="D4" s="1">
        <v>45</v>
      </c>
      <c r="E4" t="s">
        <v>58</v>
      </c>
      <c r="F4" s="7">
        <v>63258</v>
      </c>
      <c r="G4" s="6">
        <v>45783</v>
      </c>
    </row>
    <row r="5" spans="1:11" x14ac:dyDescent="0.3">
      <c r="A5" s="1">
        <v>3</v>
      </c>
      <c r="B5" s="3" t="s">
        <v>9</v>
      </c>
      <c r="C5" s="2" t="s">
        <v>34</v>
      </c>
      <c r="D5" s="1">
        <v>55</v>
      </c>
      <c r="E5" t="s">
        <v>59</v>
      </c>
      <c r="F5" s="7">
        <v>98653</v>
      </c>
      <c r="G5" s="6">
        <v>45784</v>
      </c>
    </row>
    <row r="6" spans="1:11" x14ac:dyDescent="0.3">
      <c r="A6" s="1">
        <v>4</v>
      </c>
      <c r="B6" s="3" t="s">
        <v>10</v>
      </c>
      <c r="C6" s="2" t="s">
        <v>35</v>
      </c>
      <c r="D6" s="1">
        <v>32</v>
      </c>
      <c r="E6" t="s">
        <v>58</v>
      </c>
      <c r="F6" s="7">
        <v>87456</v>
      </c>
      <c r="G6" s="6">
        <v>45785</v>
      </c>
    </row>
    <row r="7" spans="1:11" x14ac:dyDescent="0.3">
      <c r="F7" s="7"/>
      <c r="G7" s="6"/>
    </row>
    <row r="8" spans="1:11" x14ac:dyDescent="0.3">
      <c r="F8" s="7"/>
      <c r="G8" s="6"/>
    </row>
    <row r="9" spans="1:11" x14ac:dyDescent="0.3">
      <c r="A9" s="1">
        <v>5</v>
      </c>
      <c r="B9" s="3" t="s">
        <v>11</v>
      </c>
      <c r="C9" s="2" t="s">
        <v>36</v>
      </c>
      <c r="D9" s="1">
        <v>19</v>
      </c>
      <c r="E9" t="s">
        <v>59</v>
      </c>
      <c r="F9" s="7">
        <v>96541</v>
      </c>
      <c r="G9" s="6">
        <v>45786</v>
      </c>
      <c r="K9" s="11" t="s">
        <v>96</v>
      </c>
    </row>
    <row r="10" spans="1:11" x14ac:dyDescent="0.3">
      <c r="A10" s="1">
        <v>6</v>
      </c>
      <c r="B10" s="3" t="s">
        <v>12</v>
      </c>
      <c r="C10" s="2" t="s">
        <v>37</v>
      </c>
      <c r="D10" s="1">
        <v>35</v>
      </c>
      <c r="E10" t="s">
        <v>59</v>
      </c>
      <c r="F10" s="7">
        <v>32569</v>
      </c>
      <c r="G10" s="6">
        <v>45787</v>
      </c>
      <c r="K10" s="11" t="s">
        <v>97</v>
      </c>
    </row>
    <row r="11" spans="1:11" x14ac:dyDescent="0.3">
      <c r="A11" s="1">
        <v>7</v>
      </c>
      <c r="B11" s="3" t="s">
        <v>13</v>
      </c>
      <c r="C11" s="2" t="s">
        <v>38</v>
      </c>
      <c r="D11" s="1">
        <v>32</v>
      </c>
      <c r="E11" t="s">
        <v>57</v>
      </c>
      <c r="F11" s="7">
        <v>14569</v>
      </c>
      <c r="G11" s="6">
        <v>45788</v>
      </c>
    </row>
    <row r="12" spans="1:11" x14ac:dyDescent="0.3">
      <c r="A12" s="1">
        <v>8</v>
      </c>
      <c r="B12" s="3" t="s">
        <v>14</v>
      </c>
      <c r="C12" s="2" t="s">
        <v>39</v>
      </c>
      <c r="D12" s="1">
        <v>38</v>
      </c>
      <c r="E12" t="s">
        <v>57</v>
      </c>
      <c r="F12" s="7">
        <v>65489</v>
      </c>
      <c r="G12" s="6">
        <v>45789</v>
      </c>
    </row>
    <row r="13" spans="1:11" x14ac:dyDescent="0.3">
      <c r="A13" s="1">
        <v>9</v>
      </c>
      <c r="B13" s="3" t="s">
        <v>15</v>
      </c>
      <c r="C13" s="2" t="s">
        <v>40</v>
      </c>
      <c r="D13" s="1">
        <v>49</v>
      </c>
      <c r="E13" t="s">
        <v>60</v>
      </c>
      <c r="F13" s="7">
        <v>98563</v>
      </c>
      <c r="G13" s="6">
        <v>45790</v>
      </c>
    </row>
    <row r="14" spans="1:11" x14ac:dyDescent="0.3">
      <c r="F14" s="7"/>
      <c r="G14" s="6"/>
    </row>
    <row r="15" spans="1:11" x14ac:dyDescent="0.3">
      <c r="F15" s="7"/>
      <c r="G15" s="6"/>
    </row>
    <row r="16" spans="1:11" x14ac:dyDescent="0.3">
      <c r="A16" s="1">
        <v>10</v>
      </c>
      <c r="B16" s="3" t="s">
        <v>16</v>
      </c>
      <c r="C16" s="2" t="s">
        <v>41</v>
      </c>
      <c r="D16" s="1">
        <v>47</v>
      </c>
      <c r="E16" t="s">
        <v>61</v>
      </c>
      <c r="F16" s="7">
        <v>65236</v>
      </c>
      <c r="G16" s="6">
        <v>45791</v>
      </c>
    </row>
    <row r="17" spans="1:7" x14ac:dyDescent="0.3">
      <c r="A17" s="1">
        <v>11</v>
      </c>
      <c r="B17" s="3" t="s">
        <v>17</v>
      </c>
      <c r="C17" s="2" t="s">
        <v>42</v>
      </c>
      <c r="D17" s="1">
        <v>28</v>
      </c>
      <c r="E17" t="s">
        <v>60</v>
      </c>
      <c r="F17" s="7">
        <v>58746</v>
      </c>
      <c r="G17" s="6">
        <v>45792</v>
      </c>
    </row>
    <row r="18" spans="1:7" x14ac:dyDescent="0.3">
      <c r="A18" s="1">
        <v>12</v>
      </c>
      <c r="B18" s="3" t="s">
        <v>18</v>
      </c>
      <c r="C18" s="2" t="s">
        <v>43</v>
      </c>
      <c r="D18" s="1">
        <v>49</v>
      </c>
      <c r="E18" t="s">
        <v>57</v>
      </c>
      <c r="F18" s="7">
        <v>45758</v>
      </c>
      <c r="G18" s="6">
        <v>45793</v>
      </c>
    </row>
    <row r="19" spans="1:7" x14ac:dyDescent="0.3">
      <c r="F19" s="7"/>
      <c r="G19" s="6"/>
    </row>
    <row r="20" spans="1:7" x14ac:dyDescent="0.3">
      <c r="F20" s="7"/>
      <c r="G20" s="6"/>
    </row>
    <row r="21" spans="1:7" x14ac:dyDescent="0.3">
      <c r="A21" s="1">
        <v>13</v>
      </c>
      <c r="B21" s="3" t="s">
        <v>19</v>
      </c>
      <c r="C21" s="2" t="s">
        <v>44</v>
      </c>
      <c r="D21" s="1">
        <v>55</v>
      </c>
      <c r="E21" t="s">
        <v>57</v>
      </c>
      <c r="F21" s="7">
        <v>32569</v>
      </c>
      <c r="G21" s="6">
        <v>45794</v>
      </c>
    </row>
    <row r="22" spans="1:7" x14ac:dyDescent="0.3">
      <c r="A22" s="1">
        <v>14</v>
      </c>
      <c r="B22" s="3" t="s">
        <v>20</v>
      </c>
      <c r="C22" s="2" t="s">
        <v>45</v>
      </c>
      <c r="D22" s="1">
        <v>51</v>
      </c>
      <c r="E22" t="s">
        <v>58</v>
      </c>
      <c r="F22" s="7">
        <v>21036</v>
      </c>
      <c r="G22" s="6">
        <v>45795</v>
      </c>
    </row>
    <row r="23" spans="1:7" x14ac:dyDescent="0.3">
      <c r="A23" s="1">
        <v>15</v>
      </c>
      <c r="B23" s="3" t="s">
        <v>21</v>
      </c>
      <c r="C23" s="2" t="s">
        <v>46</v>
      </c>
      <c r="D23" s="1">
        <v>20</v>
      </c>
      <c r="E23" t="s">
        <v>59</v>
      </c>
      <c r="F23" s="7">
        <v>65984</v>
      </c>
      <c r="G23" s="6">
        <v>45796</v>
      </c>
    </row>
    <row r="24" spans="1:7" x14ac:dyDescent="0.3">
      <c r="A24" s="1">
        <v>16</v>
      </c>
      <c r="B24" s="3" t="s">
        <v>22</v>
      </c>
      <c r="C24" s="2" t="s">
        <v>47</v>
      </c>
      <c r="D24" s="1">
        <v>30</v>
      </c>
      <c r="E24" t="s">
        <v>59</v>
      </c>
      <c r="F24" s="7">
        <v>20202</v>
      </c>
      <c r="G24" s="6">
        <v>45797</v>
      </c>
    </row>
    <row r="25" spans="1:7" x14ac:dyDescent="0.3">
      <c r="F25" s="7"/>
      <c r="G25" s="6"/>
    </row>
    <row r="26" spans="1:7" x14ac:dyDescent="0.3">
      <c r="F26" s="7"/>
      <c r="G26" s="6"/>
    </row>
    <row r="27" spans="1:7" x14ac:dyDescent="0.3">
      <c r="F27" s="7"/>
      <c r="G27" s="6"/>
    </row>
    <row r="28" spans="1:7" x14ac:dyDescent="0.3">
      <c r="A28" s="1">
        <v>17</v>
      </c>
      <c r="B28" s="3" t="s">
        <v>23</v>
      </c>
      <c r="C28" s="2" t="s">
        <v>48</v>
      </c>
      <c r="D28" s="1">
        <v>40</v>
      </c>
      <c r="E28" t="s">
        <v>61</v>
      </c>
      <c r="F28" s="7">
        <v>36974</v>
      </c>
      <c r="G28" s="6">
        <v>45798</v>
      </c>
    </row>
    <row r="29" spans="1:7" x14ac:dyDescent="0.3">
      <c r="A29" s="1">
        <v>18</v>
      </c>
      <c r="B29" s="3" t="s">
        <v>24</v>
      </c>
      <c r="C29" s="2" t="s">
        <v>49</v>
      </c>
      <c r="D29" s="1">
        <v>49</v>
      </c>
      <c r="E29" t="s">
        <v>60</v>
      </c>
      <c r="F29" s="7">
        <v>1568</v>
      </c>
      <c r="G29" s="6">
        <v>45799</v>
      </c>
    </row>
    <row r="30" spans="1:7" x14ac:dyDescent="0.3">
      <c r="A30" s="1">
        <v>19</v>
      </c>
      <c r="B30" s="3" t="s">
        <v>25</v>
      </c>
      <c r="C30" s="2" t="s">
        <v>50</v>
      </c>
      <c r="D30" s="1">
        <v>43</v>
      </c>
      <c r="E30" t="s">
        <v>60</v>
      </c>
      <c r="F30" s="7">
        <v>98654</v>
      </c>
      <c r="G30" s="6">
        <v>45800</v>
      </c>
    </row>
    <row r="31" spans="1:7" x14ac:dyDescent="0.3">
      <c r="F31" s="7"/>
      <c r="G31" s="6"/>
    </row>
    <row r="32" spans="1:7" x14ac:dyDescent="0.3">
      <c r="F32" s="7"/>
      <c r="G32" s="6"/>
    </row>
    <row r="33" spans="1:7" x14ac:dyDescent="0.3">
      <c r="A33" s="1">
        <v>20</v>
      </c>
      <c r="B33" s="3" t="s">
        <v>26</v>
      </c>
      <c r="C33" s="2" t="s">
        <v>51</v>
      </c>
      <c r="D33" s="1">
        <v>38</v>
      </c>
      <c r="E33" t="s">
        <v>60</v>
      </c>
      <c r="F33" s="7">
        <v>96325</v>
      </c>
      <c r="G33" s="6">
        <v>45801</v>
      </c>
    </row>
    <row r="34" spans="1:7" x14ac:dyDescent="0.3">
      <c r="A34" s="1">
        <v>21</v>
      </c>
      <c r="B34" s="3" t="s">
        <v>27</v>
      </c>
      <c r="C34" s="2" t="s">
        <v>52</v>
      </c>
      <c r="D34" s="1">
        <v>29</v>
      </c>
      <c r="E34" t="s">
        <v>58</v>
      </c>
      <c r="F34" s="7">
        <v>98745</v>
      </c>
      <c r="G34" s="6">
        <v>45802</v>
      </c>
    </row>
    <row r="35" spans="1:7" x14ac:dyDescent="0.3">
      <c r="A35" s="1">
        <v>22</v>
      </c>
      <c r="B35" s="3" t="s">
        <v>28</v>
      </c>
      <c r="C35" s="2" t="s">
        <v>53</v>
      </c>
      <c r="D35" s="1">
        <v>46</v>
      </c>
      <c r="E35" t="s">
        <v>58</v>
      </c>
      <c r="F35" s="7">
        <v>65896</v>
      </c>
      <c r="G35" s="6">
        <v>45803</v>
      </c>
    </row>
    <row r="36" spans="1:7" x14ac:dyDescent="0.3">
      <c r="A36" s="1">
        <v>23</v>
      </c>
      <c r="B36" s="3" t="s">
        <v>29</v>
      </c>
      <c r="C36" s="2" t="s">
        <v>54</v>
      </c>
      <c r="D36" s="1">
        <v>19</v>
      </c>
      <c r="E36" t="s">
        <v>57</v>
      </c>
      <c r="F36" s="7">
        <v>99654</v>
      </c>
      <c r="G36" s="6">
        <v>45804</v>
      </c>
    </row>
    <row r="37" spans="1:7" x14ac:dyDescent="0.3">
      <c r="F37" s="7"/>
      <c r="G37" s="6"/>
    </row>
    <row r="38" spans="1:7" x14ac:dyDescent="0.3">
      <c r="F38" s="7"/>
      <c r="G38" s="6"/>
    </row>
    <row r="39" spans="1:7" x14ac:dyDescent="0.3">
      <c r="A39" s="1">
        <v>24</v>
      </c>
      <c r="B39" s="3" t="s">
        <v>30</v>
      </c>
      <c r="C39" s="2" t="s">
        <v>55</v>
      </c>
      <c r="D39" s="1">
        <v>22</v>
      </c>
      <c r="E39" t="s">
        <v>57</v>
      </c>
      <c r="F39" s="7">
        <v>98230</v>
      </c>
      <c r="G39" s="6">
        <v>45805</v>
      </c>
    </row>
    <row r="40" spans="1:7" x14ac:dyDescent="0.3">
      <c r="A40" s="1">
        <v>25</v>
      </c>
      <c r="B40" s="3" t="s">
        <v>31</v>
      </c>
      <c r="C40" s="2" t="s">
        <v>56</v>
      </c>
      <c r="D40" s="1">
        <v>28</v>
      </c>
      <c r="E40" t="s">
        <v>59</v>
      </c>
      <c r="F40" s="7">
        <v>74598</v>
      </c>
      <c r="G40" s="6">
        <v>45806</v>
      </c>
    </row>
    <row r="41" spans="1:7" x14ac:dyDescent="0.3">
      <c r="F41" s="8">
        <f>SUM(F3:F40)</f>
        <v>1603258</v>
      </c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8"/>
  <sheetViews>
    <sheetView workbookViewId="0">
      <selection activeCell="M8" sqref="M8"/>
    </sheetView>
  </sheetViews>
  <sheetFormatPr defaultRowHeight="14.4" x14ac:dyDescent="0.3"/>
  <cols>
    <col min="1" max="1" width="10.44140625" bestFit="1" customWidth="1"/>
    <col min="2" max="2" width="19.44140625" bestFit="1" customWidth="1"/>
    <col min="3" max="3" width="17.5546875" customWidth="1"/>
    <col min="4" max="4" width="8.44140625" style="1" bestFit="1" customWidth="1"/>
    <col min="5" max="5" width="17.5546875" customWidth="1"/>
    <col min="6" max="6" width="8.77734375" style="1" bestFit="1" customWidth="1"/>
    <col min="7" max="7" width="10.88671875" bestFit="1" customWidth="1"/>
    <col min="8" max="8" width="17.88671875" style="1" customWidth="1"/>
    <col min="9" max="9" width="6.33203125" style="1" bestFit="1" customWidth="1"/>
    <col min="10" max="10" width="11.44140625" bestFit="1" customWidth="1"/>
    <col min="13" max="13" width="41.33203125" bestFit="1" customWidth="1"/>
  </cols>
  <sheetData>
    <row r="2" spans="1:13" s="9" customFormat="1" x14ac:dyDescent="0.3">
      <c r="A2" s="9" t="s">
        <v>72</v>
      </c>
      <c r="B2" s="9" t="s">
        <v>73</v>
      </c>
      <c r="C2" s="9" t="s">
        <v>74</v>
      </c>
      <c r="D2" s="9" t="s">
        <v>114</v>
      </c>
      <c r="E2" s="9" t="s">
        <v>112</v>
      </c>
      <c r="F2" s="9" t="s">
        <v>115</v>
      </c>
      <c r="G2" s="9" t="s">
        <v>75</v>
      </c>
      <c r="H2" s="9" t="s">
        <v>76</v>
      </c>
      <c r="I2" s="9" t="s">
        <v>77</v>
      </c>
      <c r="J2" s="9" t="s">
        <v>78</v>
      </c>
    </row>
    <row r="3" spans="1:13" x14ac:dyDescent="0.3">
      <c r="A3">
        <v>101</v>
      </c>
      <c r="B3" t="s">
        <v>79</v>
      </c>
      <c r="C3" t="s">
        <v>100</v>
      </c>
      <c r="D3" s="1">
        <f>LEN(C3)</f>
        <v>11</v>
      </c>
      <c r="E3" t="str">
        <f>TRIM(C3)</f>
        <v>Mobile</v>
      </c>
      <c r="F3" s="1">
        <f>LEN(E3)</f>
        <v>6</v>
      </c>
      <c r="G3" s="15">
        <v>799</v>
      </c>
      <c r="H3" s="1">
        <v>50</v>
      </c>
      <c r="I3" s="1">
        <v>4.5</v>
      </c>
      <c r="J3" t="s">
        <v>89</v>
      </c>
    </row>
    <row r="4" spans="1:13" x14ac:dyDescent="0.3">
      <c r="A4">
        <v>102</v>
      </c>
      <c r="B4" t="s">
        <v>80</v>
      </c>
      <c r="C4" t="s">
        <v>101</v>
      </c>
      <c r="D4" s="1">
        <f t="shared" ref="D4:D12" si="0">LEN(C4)</f>
        <v>13</v>
      </c>
      <c r="E4" t="str">
        <f t="shared" ref="E4:E12" si="1">TRIM(C4)</f>
        <v>Mobile</v>
      </c>
      <c r="F4" s="1">
        <f t="shared" ref="F4:F12" si="2">LEN(E4)</f>
        <v>6</v>
      </c>
      <c r="G4" s="15">
        <v>999</v>
      </c>
      <c r="H4" s="1">
        <v>30</v>
      </c>
      <c r="I4" s="1">
        <v>4.7</v>
      </c>
      <c r="J4" t="s">
        <v>90</v>
      </c>
      <c r="M4" s="11" t="s">
        <v>111</v>
      </c>
    </row>
    <row r="5" spans="1:13" x14ac:dyDescent="0.3">
      <c r="A5">
        <v>103</v>
      </c>
      <c r="B5" t="s">
        <v>81</v>
      </c>
      <c r="C5" t="s">
        <v>102</v>
      </c>
      <c r="D5" s="1">
        <f t="shared" si="0"/>
        <v>14</v>
      </c>
      <c r="E5" t="str">
        <f t="shared" si="1"/>
        <v>Headphones</v>
      </c>
      <c r="F5" s="1">
        <f t="shared" si="2"/>
        <v>10</v>
      </c>
      <c r="G5" s="15">
        <v>399</v>
      </c>
      <c r="H5" s="1">
        <v>15</v>
      </c>
      <c r="I5" s="1">
        <v>4.5999999999999996</v>
      </c>
      <c r="J5" t="s">
        <v>91</v>
      </c>
      <c r="M5" s="11" t="s">
        <v>113</v>
      </c>
    </row>
    <row r="6" spans="1:13" x14ac:dyDescent="0.3">
      <c r="A6">
        <v>104</v>
      </c>
      <c r="B6" t="s">
        <v>82</v>
      </c>
      <c r="C6" t="s">
        <v>103</v>
      </c>
      <c r="D6" s="1">
        <f t="shared" si="0"/>
        <v>10</v>
      </c>
      <c r="E6" t="str">
        <f t="shared" si="1"/>
        <v>Laptop</v>
      </c>
      <c r="F6" s="1">
        <f t="shared" si="2"/>
        <v>6</v>
      </c>
      <c r="G6" s="15">
        <v>1249</v>
      </c>
      <c r="H6" s="1">
        <v>10</v>
      </c>
      <c r="I6" s="1">
        <v>4.8</v>
      </c>
      <c r="J6" t="s">
        <v>92</v>
      </c>
      <c r="M6" s="11"/>
    </row>
    <row r="7" spans="1:13" x14ac:dyDescent="0.3">
      <c r="A7">
        <v>101</v>
      </c>
      <c r="B7" t="s">
        <v>79</v>
      </c>
      <c r="C7" t="s">
        <v>104</v>
      </c>
      <c r="D7" s="1">
        <f t="shared" si="0"/>
        <v>8</v>
      </c>
      <c r="E7" t="str">
        <f t="shared" si="1"/>
        <v>Mobile</v>
      </c>
      <c r="F7" s="1">
        <f t="shared" si="2"/>
        <v>6</v>
      </c>
      <c r="G7" s="15">
        <v>799</v>
      </c>
      <c r="H7" s="1">
        <v>50</v>
      </c>
      <c r="I7" s="1">
        <v>4.5</v>
      </c>
      <c r="J7" t="s">
        <v>89</v>
      </c>
      <c r="M7" s="11" t="s">
        <v>119</v>
      </c>
    </row>
    <row r="8" spans="1:13" x14ac:dyDescent="0.3">
      <c r="A8">
        <v>105</v>
      </c>
      <c r="B8" t="s">
        <v>83</v>
      </c>
      <c r="C8" t="s">
        <v>105</v>
      </c>
      <c r="D8" s="1">
        <f t="shared" si="0"/>
        <v>14</v>
      </c>
      <c r="E8" t="str">
        <f t="shared" si="1"/>
        <v>Laptop</v>
      </c>
      <c r="F8" s="1">
        <f t="shared" si="2"/>
        <v>6</v>
      </c>
      <c r="G8" s="15">
        <v>1349</v>
      </c>
      <c r="H8" s="1">
        <v>8</v>
      </c>
      <c r="I8" s="1">
        <v>4.7</v>
      </c>
      <c r="J8" t="s">
        <v>93</v>
      </c>
      <c r="M8" s="11" t="s">
        <v>110</v>
      </c>
    </row>
    <row r="9" spans="1:13" x14ac:dyDescent="0.3">
      <c r="A9">
        <v>106</v>
      </c>
      <c r="B9" t="s">
        <v>84</v>
      </c>
      <c r="C9" t="s">
        <v>106</v>
      </c>
      <c r="D9" s="1">
        <f t="shared" si="0"/>
        <v>12</v>
      </c>
      <c r="E9" t="str">
        <f t="shared" si="1"/>
        <v>Headphones</v>
      </c>
      <c r="F9" s="1">
        <f t="shared" si="2"/>
        <v>10</v>
      </c>
      <c r="G9" s="15">
        <v>329</v>
      </c>
      <c r="H9" s="1">
        <v>25</v>
      </c>
      <c r="I9" s="1">
        <v>4.4000000000000004</v>
      </c>
      <c r="J9" t="s">
        <v>91</v>
      </c>
      <c r="M9" s="11"/>
    </row>
    <row r="10" spans="1:13" x14ac:dyDescent="0.3">
      <c r="A10">
        <v>107</v>
      </c>
      <c r="B10" t="s">
        <v>81</v>
      </c>
      <c r="C10" t="s">
        <v>107</v>
      </c>
      <c r="D10" s="1">
        <f t="shared" si="0"/>
        <v>15</v>
      </c>
      <c r="E10" t="str">
        <f t="shared" si="1"/>
        <v>Headphones</v>
      </c>
      <c r="F10" s="1">
        <f t="shared" si="2"/>
        <v>10</v>
      </c>
      <c r="G10" s="15">
        <v>399</v>
      </c>
      <c r="H10" s="1">
        <v>15</v>
      </c>
      <c r="I10" s="1">
        <v>4.5999999999999996</v>
      </c>
      <c r="J10" t="s">
        <v>91</v>
      </c>
      <c r="M10" s="11" t="s">
        <v>116</v>
      </c>
    </row>
    <row r="11" spans="1:13" x14ac:dyDescent="0.3">
      <c r="A11">
        <v>108</v>
      </c>
      <c r="B11" t="s">
        <v>85</v>
      </c>
      <c r="C11" t="s">
        <v>108</v>
      </c>
      <c r="D11" s="1">
        <f t="shared" si="0"/>
        <v>13</v>
      </c>
      <c r="E11" t="str">
        <f t="shared" si="1"/>
        <v>Laptop</v>
      </c>
      <c r="F11" s="1">
        <f t="shared" si="2"/>
        <v>6</v>
      </c>
      <c r="G11" s="15">
        <v>1299</v>
      </c>
      <c r="H11" s="1">
        <v>6</v>
      </c>
      <c r="I11" s="1">
        <v>4.8</v>
      </c>
      <c r="J11" t="s">
        <v>92</v>
      </c>
      <c r="M11" s="11" t="s">
        <v>117</v>
      </c>
    </row>
    <row r="12" spans="1:13" x14ac:dyDescent="0.3">
      <c r="A12">
        <v>103</v>
      </c>
      <c r="B12" t="s">
        <v>81</v>
      </c>
      <c r="C12" t="s">
        <v>109</v>
      </c>
      <c r="D12" s="1">
        <f t="shared" si="0"/>
        <v>19</v>
      </c>
      <c r="E12" t="str">
        <f t="shared" si="1"/>
        <v>Headphones</v>
      </c>
      <c r="F12" s="1">
        <f t="shared" si="2"/>
        <v>10</v>
      </c>
      <c r="G12" s="15">
        <v>399</v>
      </c>
      <c r="H12" s="1">
        <v>15</v>
      </c>
      <c r="I12" s="1">
        <v>4.5999999999999996</v>
      </c>
      <c r="J12" t="s">
        <v>91</v>
      </c>
    </row>
    <row r="15" spans="1:13" x14ac:dyDescent="0.3">
      <c r="C15" s="4" t="s">
        <v>118</v>
      </c>
      <c r="H15" s="4" t="s">
        <v>118</v>
      </c>
    </row>
    <row r="16" spans="1:13" x14ac:dyDescent="0.3">
      <c r="C16" s="1" t="s">
        <v>86</v>
      </c>
      <c r="D16" s="1">
        <f>COUNTIF($C$3:$C$12,C16)</f>
        <v>0</v>
      </c>
      <c r="H16" s="1" t="s">
        <v>86</v>
      </c>
      <c r="I16" s="1">
        <f>COUNTIF($E$3:$E$12,H16)</f>
        <v>3</v>
      </c>
    </row>
    <row r="17" spans="3:9" x14ac:dyDescent="0.3">
      <c r="C17" s="1" t="s">
        <v>88</v>
      </c>
      <c r="D17" s="1">
        <f t="shared" ref="D17:D18" si="3">COUNTIF($C$3:$C$12,C17)</f>
        <v>0</v>
      </c>
      <c r="H17" s="1" t="s">
        <v>88</v>
      </c>
      <c r="I17" s="1">
        <f>COUNTIF($E$3:$E$12,H17)</f>
        <v>3</v>
      </c>
    </row>
    <row r="18" spans="3:9" x14ac:dyDescent="0.3">
      <c r="C18" s="1" t="s">
        <v>87</v>
      </c>
      <c r="D18" s="1">
        <f t="shared" si="3"/>
        <v>0</v>
      </c>
      <c r="H18" s="1" t="s">
        <v>87</v>
      </c>
      <c r="I18" s="1">
        <f>COUNTIF($E$3:$E$12,H18)</f>
        <v>4</v>
      </c>
    </row>
  </sheetData>
  <pageMargins left="0.7" right="0.7" top="0.75" bottom="0.75" header="0.3" footer="0.3"/>
  <ignoredErrors>
    <ignoredError sqref="E3:E12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activeCell="D3" sqref="D3:D12"/>
    </sheetView>
  </sheetViews>
  <sheetFormatPr defaultRowHeight="14.4" x14ac:dyDescent="0.3"/>
  <cols>
    <col min="1" max="1" width="15.88671875" bestFit="1" customWidth="1"/>
    <col min="2" max="2" width="8.88671875" style="1"/>
    <col min="3" max="7" width="22.88671875" customWidth="1"/>
    <col min="8" max="8" width="45.109375" bestFit="1" customWidth="1"/>
  </cols>
  <sheetData>
    <row r="1" spans="1:8" x14ac:dyDescent="0.3">
      <c r="A1" s="27" t="s">
        <v>121</v>
      </c>
      <c r="B1" s="27"/>
      <c r="C1" s="27"/>
      <c r="D1" s="27"/>
      <c r="E1" s="27"/>
      <c r="F1" s="27"/>
      <c r="G1" s="27"/>
      <c r="H1" s="27"/>
    </row>
    <row r="2" spans="1:8" s="9" customFormat="1" x14ac:dyDescent="0.3">
      <c r="A2" s="18" t="s">
        <v>120</v>
      </c>
      <c r="B2" s="9" t="s">
        <v>114</v>
      </c>
      <c r="C2" s="9" t="s">
        <v>132</v>
      </c>
      <c r="D2" s="9" t="s">
        <v>135</v>
      </c>
      <c r="E2" s="9" t="s">
        <v>138</v>
      </c>
      <c r="F2" s="9" t="s">
        <v>115</v>
      </c>
    </row>
    <row r="3" spans="1:8" x14ac:dyDescent="0.3">
      <c r="A3" t="s">
        <v>123</v>
      </c>
      <c r="B3" s="1">
        <f>LEN(A3)</f>
        <v>15</v>
      </c>
      <c r="C3" t="str">
        <f>TRIM(A3)</f>
        <v>WH1881NL01</v>
      </c>
      <c r="D3" t="str">
        <f>SUBSTITUTE(C3,"WH","KL02Y")</f>
        <v>KL02Y1881NL01</v>
      </c>
      <c r="E3" t="s">
        <v>139</v>
      </c>
      <c r="F3">
        <f>LEN(E3)</f>
        <v>1</v>
      </c>
    </row>
    <row r="4" spans="1:8" x14ac:dyDescent="0.3">
      <c r="A4" t="s">
        <v>122</v>
      </c>
      <c r="B4" s="1">
        <f t="shared" ref="B4:B12" si="0">LEN(A4)</f>
        <v>15</v>
      </c>
      <c r="C4" t="str">
        <f t="shared" ref="C4:C12" si="1">TRIM(A4)</f>
        <v>WH10017QM01</v>
      </c>
      <c r="D4" t="str">
        <f t="shared" ref="D4:D12" si="2">SUBSTITUTE(C4,"WH","KL02Y")</f>
        <v>KL02Y10017QM01</v>
      </c>
      <c r="E4" t="str">
        <f t="shared" ref="E4:E12" si="3">SUBSTITUTE(A4,CHAR(160),"")</f>
        <v xml:space="preserve">WH10017QM01    </v>
      </c>
      <c r="F4">
        <f t="shared" ref="F4:F12" si="4">LEN(E4)</f>
        <v>15</v>
      </c>
      <c r="H4" s="11" t="s">
        <v>111</v>
      </c>
    </row>
    <row r="5" spans="1:8" x14ac:dyDescent="0.3">
      <c r="A5" t="s">
        <v>124</v>
      </c>
      <c r="B5" s="1">
        <f t="shared" si="0"/>
        <v>15</v>
      </c>
      <c r="C5" t="str">
        <f t="shared" si="1"/>
        <v>WH18887QM02</v>
      </c>
      <c r="D5" t="str">
        <f t="shared" si="2"/>
        <v>KL02Y18887QM02</v>
      </c>
      <c r="E5" t="str">
        <f t="shared" si="3"/>
        <v xml:space="preserve">WH18887QM02    </v>
      </c>
      <c r="F5">
        <f t="shared" si="4"/>
        <v>15</v>
      </c>
      <c r="H5" s="11" t="s">
        <v>113</v>
      </c>
    </row>
    <row r="6" spans="1:8" x14ac:dyDescent="0.3">
      <c r="A6" t="s">
        <v>125</v>
      </c>
      <c r="B6" s="1">
        <f t="shared" si="0"/>
        <v>15</v>
      </c>
      <c r="C6" t="str">
        <f t="shared" si="1"/>
        <v>WH10065QM03</v>
      </c>
      <c r="D6" t="str">
        <f t="shared" si="2"/>
        <v>KL02Y10065QM03</v>
      </c>
      <c r="E6" t="str">
        <f t="shared" si="3"/>
        <v xml:space="preserve">WH10065QM03    </v>
      </c>
      <c r="F6">
        <f t="shared" si="4"/>
        <v>15</v>
      </c>
      <c r="H6" s="11"/>
    </row>
    <row r="7" spans="1:8" x14ac:dyDescent="0.3">
      <c r="A7" t="s">
        <v>126</v>
      </c>
      <c r="B7" s="1">
        <f t="shared" si="0"/>
        <v>15</v>
      </c>
      <c r="C7" t="str">
        <f t="shared" si="1"/>
        <v>WH11234QM04</v>
      </c>
      <c r="D7" t="str">
        <f t="shared" si="2"/>
        <v>KL02Y11234QM04</v>
      </c>
      <c r="E7" t="str">
        <f t="shared" si="3"/>
        <v xml:space="preserve">WH11234QM04    </v>
      </c>
      <c r="F7">
        <f t="shared" si="4"/>
        <v>15</v>
      </c>
      <c r="H7" s="11" t="s">
        <v>119</v>
      </c>
    </row>
    <row r="8" spans="1:8" x14ac:dyDescent="0.3">
      <c r="A8" t="s">
        <v>127</v>
      </c>
      <c r="B8" s="1">
        <f t="shared" si="0"/>
        <v>15</v>
      </c>
      <c r="C8" t="str">
        <f t="shared" si="1"/>
        <v>WH10085QM08</v>
      </c>
      <c r="D8" t="str">
        <f t="shared" si="2"/>
        <v>KL02Y10085QM08</v>
      </c>
      <c r="E8" t="str">
        <f t="shared" si="3"/>
        <v xml:space="preserve">WH10085QM08    </v>
      </c>
      <c r="F8">
        <f t="shared" si="4"/>
        <v>15</v>
      </c>
      <c r="H8" s="11" t="s">
        <v>110</v>
      </c>
    </row>
    <row r="9" spans="1:8" x14ac:dyDescent="0.3">
      <c r="A9" t="s">
        <v>128</v>
      </c>
      <c r="B9" s="1">
        <f t="shared" si="0"/>
        <v>15</v>
      </c>
      <c r="C9" t="str">
        <f t="shared" si="1"/>
        <v>WH10965QM00</v>
      </c>
      <c r="D9" t="str">
        <f t="shared" si="2"/>
        <v>KL02Y10965QM00</v>
      </c>
      <c r="E9" t="str">
        <f t="shared" si="3"/>
        <v xml:space="preserve">WH10965QM00    </v>
      </c>
      <c r="F9">
        <f t="shared" si="4"/>
        <v>15</v>
      </c>
      <c r="H9" s="11"/>
    </row>
    <row r="10" spans="1:8" x14ac:dyDescent="0.3">
      <c r="A10" t="s">
        <v>129</v>
      </c>
      <c r="B10" s="1">
        <f t="shared" si="0"/>
        <v>15</v>
      </c>
      <c r="C10" t="str">
        <f t="shared" si="1"/>
        <v>WH16587QM07</v>
      </c>
      <c r="D10" t="str">
        <f t="shared" si="2"/>
        <v>KL02Y16587QM07</v>
      </c>
      <c r="E10" t="str">
        <f t="shared" si="3"/>
        <v xml:space="preserve">WH16587QM07    </v>
      </c>
      <c r="F10">
        <f t="shared" si="4"/>
        <v>15</v>
      </c>
      <c r="H10" s="11" t="s">
        <v>134</v>
      </c>
    </row>
    <row r="11" spans="1:8" x14ac:dyDescent="0.3">
      <c r="A11" t="s">
        <v>130</v>
      </c>
      <c r="B11" s="1">
        <f t="shared" si="0"/>
        <v>15</v>
      </c>
      <c r="C11" t="str">
        <f t="shared" si="1"/>
        <v>WH56817QM08</v>
      </c>
      <c r="D11" t="str">
        <f t="shared" si="2"/>
        <v>KL02Y56817QM08</v>
      </c>
      <c r="E11" t="str">
        <f t="shared" si="3"/>
        <v xml:space="preserve">WH56817QM08    </v>
      </c>
      <c r="F11">
        <f t="shared" si="4"/>
        <v>15</v>
      </c>
      <c r="H11" s="11" t="s">
        <v>133</v>
      </c>
    </row>
    <row r="12" spans="1:8" x14ac:dyDescent="0.3">
      <c r="A12" t="s">
        <v>131</v>
      </c>
      <c r="B12" s="1">
        <f t="shared" si="0"/>
        <v>15</v>
      </c>
      <c r="C12" t="str">
        <f t="shared" si="1"/>
        <v>WH96317QM09</v>
      </c>
      <c r="D12" t="str">
        <f t="shared" si="2"/>
        <v>KL02Y96317QM09</v>
      </c>
      <c r="E12" t="str">
        <f t="shared" si="3"/>
        <v xml:space="preserve">WH96317QM09    </v>
      </c>
      <c r="F12">
        <f t="shared" si="4"/>
        <v>15</v>
      </c>
      <c r="H12" s="11"/>
    </row>
    <row r="13" spans="1:8" x14ac:dyDescent="0.3">
      <c r="H13" s="11" t="s">
        <v>136</v>
      </c>
    </row>
    <row r="14" spans="1:8" x14ac:dyDescent="0.3">
      <c r="H14" s="11" t="s">
        <v>137</v>
      </c>
    </row>
  </sheetData>
  <mergeCells count="1">
    <mergeCell ref="A1:H1"/>
  </mergeCells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47"/>
  <sheetViews>
    <sheetView workbookViewId="0">
      <selection activeCell="L9" sqref="L9:L14"/>
    </sheetView>
  </sheetViews>
  <sheetFormatPr defaultRowHeight="14.4" x14ac:dyDescent="0.3"/>
  <cols>
    <col min="1" max="1" width="12.44140625" style="1" bestFit="1" customWidth="1"/>
    <col min="2" max="2" width="13.21875" style="3" bestFit="1" customWidth="1"/>
    <col min="3" max="3" width="12" style="2" bestFit="1" customWidth="1"/>
    <col min="4" max="4" width="12.33203125" style="2" bestFit="1" customWidth="1"/>
    <col min="5" max="5" width="8.88671875" style="1"/>
    <col min="6" max="6" width="11.109375" bestFit="1" customWidth="1"/>
    <col min="7" max="7" width="11.109375" customWidth="1"/>
    <col min="8" max="8" width="15.77734375" bestFit="1" customWidth="1"/>
    <col min="12" max="12" width="54.77734375" bestFit="1" customWidth="1"/>
  </cols>
  <sheetData>
    <row r="2" spans="1:12" s="20" customFormat="1" ht="43.2" x14ac:dyDescent="0.3">
      <c r="A2" s="19" t="s">
        <v>140</v>
      </c>
      <c r="B2" s="19" t="s">
        <v>141</v>
      </c>
      <c r="C2" s="19" t="s">
        <v>74</v>
      </c>
      <c r="D2" s="19" t="s">
        <v>143</v>
      </c>
      <c r="E2" s="19" t="s">
        <v>75</v>
      </c>
      <c r="F2" s="19" t="s">
        <v>142</v>
      </c>
      <c r="G2" s="19" t="s">
        <v>241</v>
      </c>
      <c r="H2" s="19" t="s">
        <v>3</v>
      </c>
    </row>
    <row r="3" spans="1:12" x14ac:dyDescent="0.3">
      <c r="A3" s="1" t="s">
        <v>144</v>
      </c>
      <c r="B3" s="3" t="s">
        <v>188</v>
      </c>
      <c r="C3" s="2" t="s">
        <v>232</v>
      </c>
      <c r="D3" s="2" t="str">
        <f>PROPER(C3)</f>
        <v>Electornics</v>
      </c>
      <c r="E3" s="1">
        <v>35</v>
      </c>
      <c r="F3">
        <v>-3</v>
      </c>
      <c r="G3">
        <f>IF(F3&lt;0,0,F3)</f>
        <v>0</v>
      </c>
      <c r="H3" s="7">
        <v>65985</v>
      </c>
    </row>
    <row r="4" spans="1:12" x14ac:dyDescent="0.3">
      <c r="A4" s="1" t="s">
        <v>145</v>
      </c>
      <c r="B4" s="3" t="s">
        <v>189</v>
      </c>
      <c r="C4" s="2" t="s">
        <v>233</v>
      </c>
      <c r="D4" s="2" t="str">
        <f>PROPER(C4)</f>
        <v>Electronic</v>
      </c>
      <c r="E4" s="1">
        <v>45</v>
      </c>
      <c r="F4">
        <v>40</v>
      </c>
      <c r="G4">
        <f t="shared" ref="G4:G46" si="0">IF(F4&lt;0,0,F4)</f>
        <v>40</v>
      </c>
      <c r="H4" s="7">
        <v>63258</v>
      </c>
    </row>
    <row r="5" spans="1:12" x14ac:dyDescent="0.3">
      <c r="A5" s="1" t="s">
        <v>146</v>
      </c>
      <c r="B5" s="3" t="s">
        <v>190</v>
      </c>
      <c r="C5" s="2" t="s">
        <v>234</v>
      </c>
      <c r="D5" s="2" t="str">
        <f t="shared" ref="D5:D12" si="1">PROPER(C5)</f>
        <v>Food</v>
      </c>
      <c r="E5" s="1">
        <v>55</v>
      </c>
      <c r="F5">
        <v>26</v>
      </c>
      <c r="G5">
        <f t="shared" si="0"/>
        <v>26</v>
      </c>
      <c r="H5" s="7">
        <v>98653</v>
      </c>
    </row>
    <row r="6" spans="1:12" x14ac:dyDescent="0.3">
      <c r="A6" s="1" t="s">
        <v>147</v>
      </c>
      <c r="B6" s="3" t="s">
        <v>191</v>
      </c>
      <c r="C6" s="2" t="s">
        <v>235</v>
      </c>
      <c r="D6" s="2" t="str">
        <f t="shared" si="1"/>
        <v>Cloting</v>
      </c>
      <c r="E6" s="1">
        <v>32</v>
      </c>
      <c r="F6">
        <v>69</v>
      </c>
      <c r="G6">
        <f t="shared" si="0"/>
        <v>69</v>
      </c>
      <c r="H6" s="7">
        <v>87456</v>
      </c>
    </row>
    <row r="7" spans="1:12" x14ac:dyDescent="0.3">
      <c r="A7" s="1" t="s">
        <v>148</v>
      </c>
      <c r="B7" s="3" t="s">
        <v>192</v>
      </c>
      <c r="C7" s="2" t="s">
        <v>236</v>
      </c>
      <c r="D7" s="2" t="str">
        <f t="shared" si="1"/>
        <v>Furniture</v>
      </c>
      <c r="E7" s="1">
        <v>35</v>
      </c>
      <c r="F7">
        <v>87</v>
      </c>
      <c r="G7">
        <f t="shared" si="0"/>
        <v>87</v>
      </c>
      <c r="H7" s="7">
        <v>14569</v>
      </c>
    </row>
    <row r="8" spans="1:12" x14ac:dyDescent="0.3">
      <c r="A8" s="1" t="s">
        <v>149</v>
      </c>
      <c r="B8" s="3" t="s">
        <v>193</v>
      </c>
      <c r="C8" s="2" t="s">
        <v>232</v>
      </c>
      <c r="D8" s="2" t="str">
        <f t="shared" si="1"/>
        <v>Electornics</v>
      </c>
      <c r="E8" s="1">
        <v>45</v>
      </c>
      <c r="F8">
        <v>31</v>
      </c>
      <c r="G8">
        <f t="shared" si="0"/>
        <v>31</v>
      </c>
      <c r="H8" s="7">
        <v>65489</v>
      </c>
    </row>
    <row r="9" spans="1:12" x14ac:dyDescent="0.3">
      <c r="A9" s="1" t="s">
        <v>150</v>
      </c>
      <c r="B9" s="3" t="s">
        <v>194</v>
      </c>
      <c r="C9" s="2" t="s">
        <v>233</v>
      </c>
      <c r="D9" s="2" t="str">
        <f t="shared" si="1"/>
        <v>Electronic</v>
      </c>
      <c r="E9" s="1">
        <v>55</v>
      </c>
      <c r="F9">
        <v>59</v>
      </c>
      <c r="G9">
        <f t="shared" si="0"/>
        <v>59</v>
      </c>
      <c r="H9" s="7">
        <v>98563</v>
      </c>
      <c r="L9" s="11" t="s">
        <v>238</v>
      </c>
    </row>
    <row r="10" spans="1:12" x14ac:dyDescent="0.3">
      <c r="A10" s="1" t="s">
        <v>151</v>
      </c>
      <c r="B10" s="3" t="s">
        <v>195</v>
      </c>
      <c r="C10" s="2" t="s">
        <v>234</v>
      </c>
      <c r="D10" s="2" t="str">
        <f t="shared" si="1"/>
        <v>Food</v>
      </c>
      <c r="E10" s="1">
        <v>35</v>
      </c>
      <c r="F10">
        <v>78</v>
      </c>
      <c r="G10">
        <f t="shared" si="0"/>
        <v>78</v>
      </c>
      <c r="H10" s="7">
        <v>32569</v>
      </c>
      <c r="L10" s="11" t="s">
        <v>239</v>
      </c>
    </row>
    <row r="11" spans="1:12" x14ac:dyDescent="0.3">
      <c r="A11" s="1" t="s">
        <v>152</v>
      </c>
      <c r="B11" s="3" t="s">
        <v>196</v>
      </c>
      <c r="C11" s="2" t="s">
        <v>234</v>
      </c>
      <c r="D11" s="2" t="str">
        <f t="shared" si="1"/>
        <v>Food</v>
      </c>
      <c r="E11" s="1">
        <v>32</v>
      </c>
      <c r="F11">
        <v>92</v>
      </c>
      <c r="G11">
        <f t="shared" si="0"/>
        <v>92</v>
      </c>
      <c r="H11" s="7">
        <v>14569</v>
      </c>
    </row>
    <row r="12" spans="1:12" x14ac:dyDescent="0.3">
      <c r="A12" s="1" t="s">
        <v>153</v>
      </c>
      <c r="B12" s="3" t="s">
        <v>197</v>
      </c>
      <c r="C12" s="2" t="s">
        <v>236</v>
      </c>
      <c r="D12" s="2" t="str">
        <f t="shared" si="1"/>
        <v>Furniture</v>
      </c>
      <c r="E12" s="1">
        <v>38</v>
      </c>
      <c r="F12">
        <v>-5</v>
      </c>
      <c r="G12">
        <f t="shared" si="0"/>
        <v>0</v>
      </c>
      <c r="H12" s="7">
        <v>65489</v>
      </c>
    </row>
    <row r="13" spans="1:12" x14ac:dyDescent="0.3">
      <c r="A13" s="1" t="s">
        <v>154</v>
      </c>
      <c r="B13" s="3" t="s">
        <v>198</v>
      </c>
      <c r="C13" s="2" t="s">
        <v>232</v>
      </c>
      <c r="D13" s="2" t="str">
        <f>UPPER(C13)</f>
        <v>ELECTORNICS</v>
      </c>
      <c r="E13" s="1">
        <v>49</v>
      </c>
      <c r="F13">
        <v>22</v>
      </c>
      <c r="G13">
        <f t="shared" si="0"/>
        <v>22</v>
      </c>
      <c r="H13" s="7">
        <v>98563</v>
      </c>
      <c r="L13" s="11" t="s">
        <v>251</v>
      </c>
    </row>
    <row r="14" spans="1:12" x14ac:dyDescent="0.3">
      <c r="A14" s="1" t="s">
        <v>155</v>
      </c>
      <c r="B14" s="3" t="s">
        <v>199</v>
      </c>
      <c r="C14" s="2" t="s">
        <v>233</v>
      </c>
      <c r="D14" s="2" t="str">
        <f t="shared" ref="D14:D27" si="2">UPPER(C14)</f>
        <v>ELECTRONIC</v>
      </c>
      <c r="E14" s="1">
        <v>35</v>
      </c>
      <c r="F14">
        <v>45</v>
      </c>
      <c r="G14">
        <f t="shared" si="0"/>
        <v>45</v>
      </c>
      <c r="H14" s="7">
        <v>14569</v>
      </c>
      <c r="L14" s="11" t="s">
        <v>240</v>
      </c>
    </row>
    <row r="15" spans="1:12" x14ac:dyDescent="0.3">
      <c r="A15" s="1" t="s">
        <v>156</v>
      </c>
      <c r="B15" s="3" t="s">
        <v>200</v>
      </c>
      <c r="C15" s="2" t="s">
        <v>234</v>
      </c>
      <c r="D15" s="2" t="str">
        <f t="shared" si="2"/>
        <v>FOOD</v>
      </c>
      <c r="E15" s="1">
        <v>45</v>
      </c>
      <c r="F15">
        <v>87</v>
      </c>
      <c r="G15">
        <f t="shared" si="0"/>
        <v>87</v>
      </c>
      <c r="H15" s="7">
        <v>65489</v>
      </c>
    </row>
    <row r="16" spans="1:12" x14ac:dyDescent="0.3">
      <c r="A16" s="1" t="s">
        <v>157</v>
      </c>
      <c r="B16" s="3" t="s">
        <v>201</v>
      </c>
      <c r="C16" s="2" t="s">
        <v>235</v>
      </c>
      <c r="D16" s="2" t="str">
        <f t="shared" si="2"/>
        <v>CLOTING</v>
      </c>
      <c r="E16" s="1">
        <v>55</v>
      </c>
      <c r="F16">
        <v>-3</v>
      </c>
      <c r="G16">
        <f t="shared" si="0"/>
        <v>0</v>
      </c>
      <c r="H16" s="7">
        <v>98563</v>
      </c>
    </row>
    <row r="17" spans="1:8" x14ac:dyDescent="0.3">
      <c r="A17" s="1" t="s">
        <v>158</v>
      </c>
      <c r="B17" s="3" t="s">
        <v>202</v>
      </c>
      <c r="C17" s="2" t="s">
        <v>236</v>
      </c>
      <c r="D17" s="2" t="str">
        <f t="shared" si="2"/>
        <v>FURNITURE</v>
      </c>
      <c r="E17" s="1">
        <v>28</v>
      </c>
      <c r="F17">
        <v>40</v>
      </c>
      <c r="G17">
        <f t="shared" si="0"/>
        <v>40</v>
      </c>
      <c r="H17" s="7">
        <v>58746</v>
      </c>
    </row>
    <row r="18" spans="1:8" x14ac:dyDescent="0.3">
      <c r="A18" s="1" t="s">
        <v>159</v>
      </c>
      <c r="B18" s="3" t="s">
        <v>203</v>
      </c>
      <c r="C18" s="2" t="s">
        <v>234</v>
      </c>
      <c r="D18" s="2" t="str">
        <f t="shared" si="2"/>
        <v>FOOD</v>
      </c>
      <c r="E18" s="1">
        <v>49</v>
      </c>
      <c r="F18">
        <v>26</v>
      </c>
      <c r="G18">
        <f t="shared" si="0"/>
        <v>26</v>
      </c>
      <c r="H18" s="7">
        <v>45758</v>
      </c>
    </row>
    <row r="19" spans="1:8" x14ac:dyDescent="0.3">
      <c r="A19" s="1" t="s">
        <v>160</v>
      </c>
      <c r="B19" s="3" t="s">
        <v>204</v>
      </c>
      <c r="C19" s="2" t="s">
        <v>234</v>
      </c>
      <c r="D19" s="2" t="str">
        <f t="shared" si="2"/>
        <v>FOOD</v>
      </c>
      <c r="E19" s="1">
        <v>35</v>
      </c>
      <c r="F19">
        <v>69</v>
      </c>
      <c r="G19">
        <f t="shared" si="0"/>
        <v>69</v>
      </c>
      <c r="H19" s="7">
        <v>14569</v>
      </c>
    </row>
    <row r="20" spans="1:8" x14ac:dyDescent="0.3">
      <c r="A20" s="1" t="s">
        <v>161</v>
      </c>
      <c r="B20" s="3" t="s">
        <v>205</v>
      </c>
      <c r="C20" s="2" t="s">
        <v>234</v>
      </c>
      <c r="D20" s="2" t="str">
        <f t="shared" si="2"/>
        <v>FOOD</v>
      </c>
      <c r="E20" s="1">
        <v>45</v>
      </c>
      <c r="F20">
        <v>87</v>
      </c>
      <c r="G20">
        <f t="shared" si="0"/>
        <v>87</v>
      </c>
      <c r="H20" s="7">
        <v>65489</v>
      </c>
    </row>
    <row r="21" spans="1:8" x14ac:dyDescent="0.3">
      <c r="A21" s="1" t="s">
        <v>162</v>
      </c>
      <c r="B21" s="3" t="s">
        <v>206</v>
      </c>
      <c r="C21" s="2" t="s">
        <v>236</v>
      </c>
      <c r="D21" s="2" t="str">
        <f t="shared" si="2"/>
        <v>FURNITURE</v>
      </c>
      <c r="E21" s="1">
        <v>55</v>
      </c>
      <c r="F21">
        <v>31</v>
      </c>
      <c r="G21">
        <f t="shared" si="0"/>
        <v>31</v>
      </c>
      <c r="H21" s="7">
        <v>98563</v>
      </c>
    </row>
    <row r="22" spans="1:8" x14ac:dyDescent="0.3">
      <c r="A22" s="1" t="s">
        <v>163</v>
      </c>
      <c r="B22" s="3" t="s">
        <v>207</v>
      </c>
      <c r="C22" s="2" t="s">
        <v>232</v>
      </c>
      <c r="D22" s="2" t="str">
        <f t="shared" si="2"/>
        <v>ELECTORNICS</v>
      </c>
      <c r="E22" s="1">
        <v>51</v>
      </c>
      <c r="F22">
        <v>59</v>
      </c>
      <c r="G22">
        <f t="shared" si="0"/>
        <v>59</v>
      </c>
      <c r="H22" s="7">
        <v>21036</v>
      </c>
    </row>
    <row r="23" spans="1:8" x14ac:dyDescent="0.3">
      <c r="A23" s="1" t="s">
        <v>164</v>
      </c>
      <c r="B23" s="3" t="s">
        <v>208</v>
      </c>
      <c r="C23" s="2" t="s">
        <v>233</v>
      </c>
      <c r="D23" s="2" t="str">
        <f t="shared" si="2"/>
        <v>ELECTRONIC</v>
      </c>
      <c r="E23" s="1">
        <v>20</v>
      </c>
      <c r="F23">
        <v>78</v>
      </c>
      <c r="G23">
        <f t="shared" si="0"/>
        <v>78</v>
      </c>
      <c r="H23" s="7">
        <v>65984</v>
      </c>
    </row>
    <row r="24" spans="1:8" x14ac:dyDescent="0.3">
      <c r="A24" s="1" t="s">
        <v>165</v>
      </c>
      <c r="B24" s="3" t="s">
        <v>209</v>
      </c>
      <c r="C24" s="2" t="s">
        <v>234</v>
      </c>
      <c r="D24" s="2" t="str">
        <f t="shared" si="2"/>
        <v>FOOD</v>
      </c>
      <c r="E24" s="1">
        <v>30</v>
      </c>
      <c r="F24">
        <v>92</v>
      </c>
      <c r="G24">
        <f t="shared" si="0"/>
        <v>92</v>
      </c>
      <c r="H24" s="7">
        <v>20202</v>
      </c>
    </row>
    <row r="25" spans="1:8" x14ac:dyDescent="0.3">
      <c r="A25" s="1" t="s">
        <v>166</v>
      </c>
      <c r="B25" s="3" t="s">
        <v>210</v>
      </c>
      <c r="C25" s="2" t="s">
        <v>235</v>
      </c>
      <c r="D25" s="2" t="str">
        <f t="shared" si="2"/>
        <v>CLOTING</v>
      </c>
      <c r="E25" s="1">
        <v>35</v>
      </c>
      <c r="F25">
        <v>-5</v>
      </c>
      <c r="G25">
        <f t="shared" si="0"/>
        <v>0</v>
      </c>
      <c r="H25" s="7">
        <v>14569</v>
      </c>
    </row>
    <row r="26" spans="1:8" x14ac:dyDescent="0.3">
      <c r="A26" s="1" t="s">
        <v>167</v>
      </c>
      <c r="B26" s="3" t="s">
        <v>211</v>
      </c>
      <c r="C26" s="2" t="s">
        <v>236</v>
      </c>
      <c r="D26" s="2" t="str">
        <f t="shared" si="2"/>
        <v>FURNITURE</v>
      </c>
      <c r="E26" s="1">
        <v>45</v>
      </c>
      <c r="F26">
        <v>22</v>
      </c>
      <c r="G26">
        <f t="shared" si="0"/>
        <v>22</v>
      </c>
      <c r="H26" s="7">
        <v>65489</v>
      </c>
    </row>
    <row r="27" spans="1:8" x14ac:dyDescent="0.3">
      <c r="A27" s="1" t="s">
        <v>168</v>
      </c>
      <c r="B27" s="3" t="s">
        <v>212</v>
      </c>
      <c r="C27" s="2" t="s">
        <v>234</v>
      </c>
      <c r="D27" s="2" t="str">
        <f t="shared" si="2"/>
        <v>FOOD</v>
      </c>
      <c r="E27" s="1">
        <v>55</v>
      </c>
      <c r="F27">
        <v>45</v>
      </c>
      <c r="G27">
        <f t="shared" si="0"/>
        <v>45</v>
      </c>
      <c r="H27" s="7">
        <v>98563</v>
      </c>
    </row>
    <row r="28" spans="1:8" x14ac:dyDescent="0.3">
      <c r="A28" s="1" t="s">
        <v>169</v>
      </c>
      <c r="B28" s="3" t="s">
        <v>213</v>
      </c>
      <c r="C28" s="2" t="s">
        <v>237</v>
      </c>
      <c r="D28" s="2" t="str">
        <f>LOWER(C28)</f>
        <v>cloting</v>
      </c>
      <c r="E28" s="1">
        <v>40</v>
      </c>
      <c r="F28">
        <v>87</v>
      </c>
      <c r="G28">
        <f t="shared" si="0"/>
        <v>87</v>
      </c>
      <c r="H28" s="7">
        <v>36974</v>
      </c>
    </row>
    <row r="29" spans="1:8" x14ac:dyDescent="0.3">
      <c r="A29" s="1" t="s">
        <v>170</v>
      </c>
      <c r="B29" s="3" t="s">
        <v>214</v>
      </c>
      <c r="C29" s="2" t="s">
        <v>235</v>
      </c>
      <c r="D29" s="2" t="str">
        <f t="shared" ref="D29:D46" si="3">LOWER(C29)</f>
        <v>cloting</v>
      </c>
      <c r="E29" s="1">
        <v>49</v>
      </c>
      <c r="F29">
        <v>-3</v>
      </c>
      <c r="G29">
        <f t="shared" si="0"/>
        <v>0</v>
      </c>
      <c r="H29" s="7">
        <v>1568</v>
      </c>
    </row>
    <row r="30" spans="1:8" x14ac:dyDescent="0.3">
      <c r="A30" s="1" t="s">
        <v>171</v>
      </c>
      <c r="B30" s="3" t="s">
        <v>215</v>
      </c>
      <c r="C30" s="2" t="s">
        <v>236</v>
      </c>
      <c r="D30" s="2" t="str">
        <f t="shared" si="3"/>
        <v>furniture</v>
      </c>
      <c r="E30" s="1">
        <v>43</v>
      </c>
      <c r="F30">
        <v>40</v>
      </c>
      <c r="G30">
        <f t="shared" si="0"/>
        <v>40</v>
      </c>
      <c r="H30" s="7">
        <v>98654</v>
      </c>
    </row>
    <row r="31" spans="1:8" x14ac:dyDescent="0.3">
      <c r="A31" s="1" t="s">
        <v>172</v>
      </c>
      <c r="B31" s="3" t="s">
        <v>216</v>
      </c>
      <c r="C31" s="2" t="s">
        <v>232</v>
      </c>
      <c r="D31" s="2" t="str">
        <f t="shared" si="3"/>
        <v>electornics</v>
      </c>
      <c r="E31" s="1">
        <v>35</v>
      </c>
      <c r="F31">
        <v>26</v>
      </c>
      <c r="G31">
        <f t="shared" si="0"/>
        <v>26</v>
      </c>
      <c r="H31" s="7">
        <v>14569</v>
      </c>
    </row>
    <row r="32" spans="1:8" x14ac:dyDescent="0.3">
      <c r="A32" s="1" t="s">
        <v>173</v>
      </c>
      <c r="B32" s="3" t="s">
        <v>217</v>
      </c>
      <c r="C32" s="2" t="s">
        <v>233</v>
      </c>
      <c r="D32" s="2" t="str">
        <f t="shared" si="3"/>
        <v>electronic</v>
      </c>
      <c r="E32" s="1">
        <v>45</v>
      </c>
      <c r="F32">
        <v>69</v>
      </c>
      <c r="G32">
        <f t="shared" si="0"/>
        <v>69</v>
      </c>
      <c r="H32" s="7">
        <v>65489</v>
      </c>
    </row>
    <row r="33" spans="1:8" x14ac:dyDescent="0.3">
      <c r="A33" s="1" t="s">
        <v>174</v>
      </c>
      <c r="B33" s="3" t="s">
        <v>218</v>
      </c>
      <c r="C33" s="2" t="s">
        <v>234</v>
      </c>
      <c r="D33" s="2" t="str">
        <f t="shared" si="3"/>
        <v>food</v>
      </c>
      <c r="E33" s="1">
        <v>55</v>
      </c>
      <c r="F33">
        <v>87</v>
      </c>
      <c r="G33">
        <f t="shared" si="0"/>
        <v>87</v>
      </c>
      <c r="H33" s="7">
        <v>98563</v>
      </c>
    </row>
    <row r="34" spans="1:8" x14ac:dyDescent="0.3">
      <c r="A34" s="1" t="s">
        <v>175</v>
      </c>
      <c r="B34" s="3" t="s">
        <v>219</v>
      </c>
      <c r="C34" s="2" t="s">
        <v>235</v>
      </c>
      <c r="D34" s="2" t="str">
        <f t="shared" si="3"/>
        <v>cloting</v>
      </c>
      <c r="E34" s="1">
        <v>29</v>
      </c>
      <c r="F34">
        <v>31</v>
      </c>
      <c r="G34">
        <f t="shared" si="0"/>
        <v>31</v>
      </c>
      <c r="H34" s="7">
        <v>98745</v>
      </c>
    </row>
    <row r="35" spans="1:8" x14ac:dyDescent="0.3">
      <c r="A35" s="1" t="s">
        <v>176</v>
      </c>
      <c r="B35" s="3" t="s">
        <v>220</v>
      </c>
      <c r="C35" s="2" t="s">
        <v>236</v>
      </c>
      <c r="D35" s="2" t="str">
        <f t="shared" si="3"/>
        <v>furniture</v>
      </c>
      <c r="E35" s="1">
        <v>46</v>
      </c>
      <c r="F35">
        <v>-3</v>
      </c>
      <c r="G35">
        <f t="shared" si="0"/>
        <v>0</v>
      </c>
      <c r="H35" s="7">
        <v>14569</v>
      </c>
    </row>
    <row r="36" spans="1:8" x14ac:dyDescent="0.3">
      <c r="A36" s="1" t="s">
        <v>177</v>
      </c>
      <c r="B36" s="3" t="s">
        <v>221</v>
      </c>
      <c r="C36" s="2" t="s">
        <v>234</v>
      </c>
      <c r="D36" s="2" t="str">
        <f t="shared" si="3"/>
        <v>food</v>
      </c>
      <c r="E36" s="1">
        <v>19</v>
      </c>
      <c r="F36">
        <v>40</v>
      </c>
      <c r="G36">
        <f t="shared" si="0"/>
        <v>40</v>
      </c>
      <c r="H36" s="7">
        <v>14569</v>
      </c>
    </row>
    <row r="37" spans="1:8" x14ac:dyDescent="0.3">
      <c r="A37" s="1" t="s">
        <v>178</v>
      </c>
      <c r="B37" s="3" t="s">
        <v>222</v>
      </c>
      <c r="C37" s="2" t="s">
        <v>237</v>
      </c>
      <c r="D37" s="2" t="str">
        <f t="shared" si="3"/>
        <v>cloting</v>
      </c>
      <c r="E37" s="1">
        <v>35</v>
      </c>
      <c r="F37">
        <v>26</v>
      </c>
      <c r="G37">
        <f t="shared" si="0"/>
        <v>26</v>
      </c>
      <c r="H37" s="7">
        <v>65489</v>
      </c>
    </row>
    <row r="38" spans="1:8" x14ac:dyDescent="0.3">
      <c r="A38" s="1" t="s">
        <v>179</v>
      </c>
      <c r="B38" s="3" t="s">
        <v>223</v>
      </c>
      <c r="C38" s="2" t="s">
        <v>235</v>
      </c>
      <c r="D38" s="2" t="str">
        <f t="shared" si="3"/>
        <v>cloting</v>
      </c>
      <c r="E38" s="1">
        <v>45</v>
      </c>
      <c r="F38">
        <v>69</v>
      </c>
      <c r="G38">
        <f t="shared" si="0"/>
        <v>69</v>
      </c>
      <c r="H38" s="7">
        <v>98563</v>
      </c>
    </row>
    <row r="39" spans="1:8" x14ac:dyDescent="0.3">
      <c r="A39" s="1" t="s">
        <v>180</v>
      </c>
      <c r="B39" s="3" t="s">
        <v>224</v>
      </c>
      <c r="C39" s="2" t="s">
        <v>236</v>
      </c>
      <c r="D39" s="2" t="str">
        <f t="shared" si="3"/>
        <v>furniture</v>
      </c>
      <c r="E39" s="1">
        <v>55</v>
      </c>
      <c r="F39">
        <v>87</v>
      </c>
      <c r="G39">
        <f t="shared" si="0"/>
        <v>87</v>
      </c>
      <c r="H39" s="7">
        <v>36974</v>
      </c>
    </row>
    <row r="40" spans="1:8" x14ac:dyDescent="0.3">
      <c r="A40" s="1" t="s">
        <v>181</v>
      </c>
      <c r="B40" s="3" t="s">
        <v>225</v>
      </c>
      <c r="C40" s="2" t="s">
        <v>232</v>
      </c>
      <c r="D40" s="2" t="str">
        <f t="shared" si="3"/>
        <v>electornics</v>
      </c>
      <c r="E40" s="1">
        <v>28</v>
      </c>
      <c r="F40">
        <v>31</v>
      </c>
      <c r="G40">
        <f t="shared" si="0"/>
        <v>31</v>
      </c>
      <c r="H40" s="7">
        <v>1568</v>
      </c>
    </row>
    <row r="41" spans="1:8" x14ac:dyDescent="0.3">
      <c r="A41" s="1" t="s">
        <v>182</v>
      </c>
      <c r="B41" s="3" t="s">
        <v>226</v>
      </c>
      <c r="C41" s="2" t="s">
        <v>233</v>
      </c>
      <c r="D41" s="2" t="str">
        <f t="shared" si="3"/>
        <v>electronic</v>
      </c>
      <c r="E41" s="1">
        <v>35</v>
      </c>
      <c r="F41">
        <v>59</v>
      </c>
      <c r="G41">
        <f t="shared" si="0"/>
        <v>59</v>
      </c>
      <c r="H41" s="7">
        <v>98654</v>
      </c>
    </row>
    <row r="42" spans="1:8" x14ac:dyDescent="0.3">
      <c r="A42" s="1" t="s">
        <v>183</v>
      </c>
      <c r="B42" s="3" t="s">
        <v>227</v>
      </c>
      <c r="C42" s="2" t="s">
        <v>234</v>
      </c>
      <c r="D42" s="2" t="str">
        <f t="shared" si="3"/>
        <v>food</v>
      </c>
      <c r="E42" s="1">
        <v>45</v>
      </c>
      <c r="F42">
        <v>78</v>
      </c>
      <c r="G42">
        <f t="shared" si="0"/>
        <v>78</v>
      </c>
      <c r="H42" s="7">
        <v>14569</v>
      </c>
    </row>
    <row r="43" spans="1:8" x14ac:dyDescent="0.3">
      <c r="A43" s="1" t="s">
        <v>184</v>
      </c>
      <c r="B43" s="3" t="s">
        <v>228</v>
      </c>
      <c r="C43" s="2" t="s">
        <v>235</v>
      </c>
      <c r="D43" s="2" t="str">
        <f t="shared" si="3"/>
        <v>cloting</v>
      </c>
      <c r="E43" s="1">
        <v>55</v>
      </c>
      <c r="F43">
        <v>92</v>
      </c>
      <c r="G43">
        <f t="shared" si="0"/>
        <v>92</v>
      </c>
      <c r="H43" s="7">
        <v>65489</v>
      </c>
    </row>
    <row r="44" spans="1:8" x14ac:dyDescent="0.3">
      <c r="A44" s="1" t="s">
        <v>185</v>
      </c>
      <c r="B44" s="3" t="s">
        <v>229</v>
      </c>
      <c r="C44" s="2" t="s">
        <v>236</v>
      </c>
      <c r="D44" s="2" t="str">
        <f t="shared" si="3"/>
        <v>furniture</v>
      </c>
      <c r="E44" s="1">
        <v>35</v>
      </c>
      <c r="F44">
        <v>-5</v>
      </c>
      <c r="G44">
        <f t="shared" si="0"/>
        <v>0</v>
      </c>
      <c r="H44" s="7">
        <v>98563</v>
      </c>
    </row>
    <row r="45" spans="1:8" x14ac:dyDescent="0.3">
      <c r="A45" s="1" t="s">
        <v>186</v>
      </c>
      <c r="B45" s="3" t="s">
        <v>230</v>
      </c>
      <c r="C45" s="2" t="s">
        <v>234</v>
      </c>
      <c r="D45" s="2" t="str">
        <f t="shared" si="3"/>
        <v>food</v>
      </c>
      <c r="E45" s="1">
        <v>45</v>
      </c>
      <c r="F45">
        <v>22</v>
      </c>
      <c r="G45">
        <f t="shared" si="0"/>
        <v>22</v>
      </c>
      <c r="H45" s="7">
        <v>98745</v>
      </c>
    </row>
    <row r="46" spans="1:8" x14ac:dyDescent="0.3">
      <c r="A46" s="1" t="s">
        <v>187</v>
      </c>
      <c r="B46" s="3" t="s">
        <v>231</v>
      </c>
      <c r="C46" s="2" t="s">
        <v>237</v>
      </c>
      <c r="D46" s="2" t="str">
        <f t="shared" si="3"/>
        <v>cloting</v>
      </c>
      <c r="E46" s="1">
        <v>55</v>
      </c>
      <c r="F46">
        <v>45</v>
      </c>
      <c r="G46">
        <f t="shared" si="0"/>
        <v>45</v>
      </c>
      <c r="H46" s="7">
        <v>74598</v>
      </c>
    </row>
    <row r="47" spans="1:8" x14ac:dyDescent="0.3">
      <c r="H47" s="8">
        <f>SUM(H3:H46)</f>
        <v>2549664</v>
      </c>
    </row>
  </sheetData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opLeftCell="B1" zoomScale="120" zoomScaleNormal="120" workbookViewId="0">
      <selection activeCell="H6" sqref="H6"/>
    </sheetView>
  </sheetViews>
  <sheetFormatPr defaultRowHeight="14.4" x14ac:dyDescent="0.3"/>
  <cols>
    <col min="1" max="1" width="15.33203125" bestFit="1" customWidth="1"/>
    <col min="2" max="2" width="15.33203125" customWidth="1"/>
    <col min="3" max="4" width="18.33203125" bestFit="1" customWidth="1"/>
    <col min="8" max="8" width="86.5546875" bestFit="1" customWidth="1"/>
  </cols>
  <sheetData>
    <row r="1" spans="1:8" x14ac:dyDescent="0.3">
      <c r="B1" s="21" t="s">
        <v>246</v>
      </c>
      <c r="D1" s="21"/>
    </row>
    <row r="2" spans="1:8" x14ac:dyDescent="0.3">
      <c r="B2" s="21"/>
      <c r="C2" s="21" t="s">
        <v>254</v>
      </c>
      <c r="D2" s="21" t="s">
        <v>254</v>
      </c>
    </row>
    <row r="3" spans="1:8" x14ac:dyDescent="0.3">
      <c r="A3" t="s">
        <v>242</v>
      </c>
      <c r="B3" t="s">
        <v>250</v>
      </c>
      <c r="C3" t="s">
        <v>245</v>
      </c>
    </row>
    <row r="4" spans="1:8" x14ac:dyDescent="0.3">
      <c r="A4" t="s">
        <v>256</v>
      </c>
      <c r="B4" t="s">
        <v>253</v>
      </c>
      <c r="C4" t="str">
        <f>LEFT(A4,FIND("-",A4,1)-1)</f>
        <v>Karachi</v>
      </c>
      <c r="D4" t="str">
        <f>RIGHT(A4,LEN(A4)-FIND("-",A4,1))</f>
        <v>7585059</v>
      </c>
      <c r="H4" s="11" t="s">
        <v>252</v>
      </c>
    </row>
    <row r="5" spans="1:8" x14ac:dyDescent="0.3">
      <c r="A5" t="s">
        <v>255</v>
      </c>
      <c r="B5" t="s">
        <v>247</v>
      </c>
      <c r="C5" t="str">
        <f t="shared" ref="C5:C7" si="0">LEFT(A5,FIND("-",A5,1)-1)</f>
        <v>Lahore</v>
      </c>
      <c r="D5" t="str">
        <f t="shared" ref="D5:D7" si="1">RIGHT(A5,LEN(A5)-FIND("-",A5,1))</f>
        <v>459669</v>
      </c>
      <c r="H5" s="11" t="s">
        <v>257</v>
      </c>
    </row>
    <row r="6" spans="1:8" x14ac:dyDescent="0.3">
      <c r="A6" t="s">
        <v>243</v>
      </c>
      <c r="B6" t="s">
        <v>248</v>
      </c>
      <c r="C6" t="str">
        <f t="shared" si="0"/>
        <v>Islamabad</v>
      </c>
      <c r="D6" t="str">
        <f t="shared" si="1"/>
        <v>56892</v>
      </c>
      <c r="H6" s="11" t="s">
        <v>258</v>
      </c>
    </row>
    <row r="7" spans="1:8" x14ac:dyDescent="0.3">
      <c r="A7" t="s">
        <v>244</v>
      </c>
      <c r="B7" t="s">
        <v>249</v>
      </c>
      <c r="C7" t="str">
        <f t="shared" si="0"/>
        <v>Fiaslabad</v>
      </c>
      <c r="D7" t="str">
        <f t="shared" si="1"/>
        <v>365892</v>
      </c>
    </row>
    <row r="8" spans="1:8" x14ac:dyDescent="0.3">
      <c r="H8" s="11" t="s">
        <v>251</v>
      </c>
    </row>
    <row r="9" spans="1:8" x14ac:dyDescent="0.3">
      <c r="H9" s="11" t="s">
        <v>240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6"/>
  <sheetViews>
    <sheetView workbookViewId="0">
      <selection activeCell="J16" sqref="J16"/>
    </sheetView>
  </sheetViews>
  <sheetFormatPr defaultColWidth="14.44140625" defaultRowHeight="14.4" x14ac:dyDescent="0.3"/>
  <cols>
    <col min="5" max="5" width="14.44140625" style="1"/>
  </cols>
  <sheetData>
    <row r="2" spans="1:12" s="4" customFormat="1" x14ac:dyDescent="0.3">
      <c r="A2" s="23" t="s">
        <v>275</v>
      </c>
      <c r="B2" s="23" t="s">
        <v>276</v>
      </c>
      <c r="C2" s="23" t="s">
        <v>57</v>
      </c>
      <c r="D2" s="23" t="s">
        <v>59</v>
      </c>
      <c r="E2" s="23" t="s">
        <v>277</v>
      </c>
      <c r="F2" s="23" t="s">
        <v>297</v>
      </c>
      <c r="I2" s="29" t="s">
        <v>305</v>
      </c>
      <c r="J2" s="29"/>
      <c r="K2" s="29"/>
      <c r="L2" s="29"/>
    </row>
    <row r="3" spans="1:12" x14ac:dyDescent="0.3">
      <c r="A3" s="11" t="s">
        <v>7</v>
      </c>
      <c r="B3" s="11" t="s">
        <v>278</v>
      </c>
      <c r="C3" s="11" t="s">
        <v>58</v>
      </c>
      <c r="D3" s="11">
        <v>72704</v>
      </c>
      <c r="E3" s="25" t="str">
        <f>IF(D3&gt;=50000,"Completed",IF(D3&lt;50000,"Incompleted"))</f>
        <v>Completed</v>
      </c>
      <c r="F3" s="11">
        <f>IF(D3&gt;75000,D3*25%,IF(D3&gt;50000,D3*15%,IF(D3&lt;=50000,D3*10%)))</f>
        <v>10905.6</v>
      </c>
      <c r="J3" s="30" t="s">
        <v>290</v>
      </c>
      <c r="K3" s="30"/>
    </row>
    <row r="4" spans="1:12" x14ac:dyDescent="0.3">
      <c r="A4" s="11" t="s">
        <v>8</v>
      </c>
      <c r="B4" s="11" t="s">
        <v>279</v>
      </c>
      <c r="C4" s="11" t="s">
        <v>59</v>
      </c>
      <c r="D4" s="11">
        <v>65986</v>
      </c>
      <c r="E4" s="25" t="str">
        <f t="shared" ref="E4:E14" si="0">IF(D4&gt;=50000,"Completed",IF(D4&lt;50000,"Incompleted"))</f>
        <v>Completed</v>
      </c>
      <c r="F4" s="11">
        <f t="shared" ref="F4:F14" si="1">IF(D4&gt;75000,D4*25%,IF(D4&gt;50000,D4*15%,IF(D4&lt;=50000,D4*10%)))</f>
        <v>9897.9</v>
      </c>
      <c r="J4" t="s">
        <v>291</v>
      </c>
      <c r="K4" t="s">
        <v>292</v>
      </c>
    </row>
    <row r="5" spans="1:12" x14ac:dyDescent="0.3">
      <c r="A5" s="11" t="s">
        <v>9</v>
      </c>
      <c r="B5" s="11" t="s">
        <v>280</v>
      </c>
      <c r="C5" s="11" t="s">
        <v>57</v>
      </c>
      <c r="D5" s="11">
        <v>62547</v>
      </c>
      <c r="E5" s="25" t="str">
        <f t="shared" si="0"/>
        <v>Completed</v>
      </c>
      <c r="F5" s="11">
        <f t="shared" si="1"/>
        <v>9382.0499999999993</v>
      </c>
      <c r="J5" t="s">
        <v>296</v>
      </c>
      <c r="K5" t="s">
        <v>293</v>
      </c>
    </row>
    <row r="6" spans="1:12" x14ac:dyDescent="0.3">
      <c r="A6" s="11" t="s">
        <v>10</v>
      </c>
      <c r="B6" s="11" t="s">
        <v>281</v>
      </c>
      <c r="C6" s="11" t="s">
        <v>58</v>
      </c>
      <c r="D6" s="11">
        <v>20325</v>
      </c>
      <c r="E6" s="25" t="str">
        <f t="shared" si="0"/>
        <v>Incompleted</v>
      </c>
      <c r="F6" s="11">
        <f t="shared" si="1"/>
        <v>2032.5</v>
      </c>
      <c r="J6" t="s">
        <v>295</v>
      </c>
      <c r="K6" t="s">
        <v>294</v>
      </c>
    </row>
    <row r="7" spans="1:12" x14ac:dyDescent="0.3">
      <c r="A7" s="11" t="s">
        <v>11</v>
      </c>
      <c r="B7" s="11" t="s">
        <v>282</v>
      </c>
      <c r="C7" s="11" t="s">
        <v>58</v>
      </c>
      <c r="D7" s="11">
        <v>96532</v>
      </c>
      <c r="E7" s="25" t="str">
        <f t="shared" si="0"/>
        <v>Completed</v>
      </c>
      <c r="F7" s="11">
        <f t="shared" si="1"/>
        <v>24133</v>
      </c>
    </row>
    <row r="8" spans="1:12" x14ac:dyDescent="0.3">
      <c r="A8" s="11" t="s">
        <v>12</v>
      </c>
      <c r="B8" s="11" t="s">
        <v>283</v>
      </c>
      <c r="C8" s="11" t="s">
        <v>59</v>
      </c>
      <c r="D8" s="11">
        <v>65874</v>
      </c>
      <c r="E8" s="25" t="str">
        <f t="shared" si="0"/>
        <v>Completed</v>
      </c>
      <c r="F8" s="11">
        <f t="shared" si="1"/>
        <v>9881.1</v>
      </c>
      <c r="J8" t="s">
        <v>303</v>
      </c>
    </row>
    <row r="9" spans="1:12" x14ac:dyDescent="0.3">
      <c r="A9" s="11" t="s">
        <v>13</v>
      </c>
      <c r="B9" s="11" t="s">
        <v>284</v>
      </c>
      <c r="C9" s="11" t="s">
        <v>57</v>
      </c>
      <c r="D9" s="11">
        <v>86523</v>
      </c>
      <c r="E9" s="25" t="str">
        <f t="shared" si="0"/>
        <v>Completed</v>
      </c>
      <c r="F9" s="11">
        <f t="shared" si="1"/>
        <v>21630.75</v>
      </c>
    </row>
    <row r="10" spans="1:12" x14ac:dyDescent="0.3">
      <c r="A10" s="11" t="s">
        <v>14</v>
      </c>
      <c r="B10" s="11" t="s">
        <v>285</v>
      </c>
      <c r="C10" s="11" t="s">
        <v>58</v>
      </c>
      <c r="D10" s="11">
        <v>32569</v>
      </c>
      <c r="E10" s="25" t="str">
        <f t="shared" si="0"/>
        <v>Incompleted</v>
      </c>
      <c r="F10" s="11">
        <f t="shared" si="1"/>
        <v>3256.9</v>
      </c>
      <c r="J10" s="28" t="s">
        <v>298</v>
      </c>
      <c r="K10" s="28"/>
    </row>
    <row r="11" spans="1:12" x14ac:dyDescent="0.3">
      <c r="A11" s="11" t="s">
        <v>15</v>
      </c>
      <c r="B11" s="11" t="s">
        <v>286</v>
      </c>
      <c r="C11" s="11" t="s">
        <v>58</v>
      </c>
      <c r="D11" s="11">
        <v>12365</v>
      </c>
      <c r="E11" s="25" t="str">
        <f t="shared" si="0"/>
        <v>Incompleted</v>
      </c>
      <c r="F11" s="11">
        <f t="shared" si="1"/>
        <v>1236.5</v>
      </c>
      <c r="J11" t="s">
        <v>59</v>
      </c>
      <c r="K11" t="s">
        <v>301</v>
      </c>
    </row>
    <row r="12" spans="1:12" x14ac:dyDescent="0.3">
      <c r="A12" s="11" t="s">
        <v>16</v>
      </c>
      <c r="B12" s="11" t="s">
        <v>287</v>
      </c>
      <c r="C12" s="11" t="s">
        <v>59</v>
      </c>
      <c r="D12" s="11">
        <v>12345</v>
      </c>
      <c r="E12" s="25" t="str">
        <f t="shared" si="0"/>
        <v>Incompleted</v>
      </c>
      <c r="F12" s="11">
        <f t="shared" si="1"/>
        <v>1234.5</v>
      </c>
      <c r="J12" t="s">
        <v>299</v>
      </c>
      <c r="K12" s="24">
        <v>0.25</v>
      </c>
    </row>
    <row r="13" spans="1:12" x14ac:dyDescent="0.3">
      <c r="A13" s="11" t="s">
        <v>17</v>
      </c>
      <c r="B13" s="11" t="s">
        <v>288</v>
      </c>
      <c r="C13" s="11" t="s">
        <v>59</v>
      </c>
      <c r="D13" s="11">
        <v>98562</v>
      </c>
      <c r="E13" s="25" t="str">
        <f t="shared" si="0"/>
        <v>Completed</v>
      </c>
      <c r="F13" s="11">
        <f t="shared" si="1"/>
        <v>24640.5</v>
      </c>
      <c r="J13" t="s">
        <v>300</v>
      </c>
      <c r="K13" s="24">
        <v>0.15</v>
      </c>
    </row>
    <row r="14" spans="1:12" x14ac:dyDescent="0.3">
      <c r="A14" s="11" t="s">
        <v>18</v>
      </c>
      <c r="B14" s="11" t="s">
        <v>289</v>
      </c>
      <c r="C14" s="11" t="s">
        <v>58</v>
      </c>
      <c r="D14" s="11">
        <v>75632</v>
      </c>
      <c r="E14" s="25" t="str">
        <f t="shared" si="0"/>
        <v>Completed</v>
      </c>
      <c r="F14" s="11">
        <f t="shared" si="1"/>
        <v>18908</v>
      </c>
      <c r="J14" t="s">
        <v>295</v>
      </c>
      <c r="K14" s="24">
        <v>0.1</v>
      </c>
    </row>
    <row r="16" spans="1:12" x14ac:dyDescent="0.3">
      <c r="J16" t="s">
        <v>302</v>
      </c>
    </row>
  </sheetData>
  <mergeCells count="3">
    <mergeCell ref="J10:K10"/>
    <mergeCell ref="I2:L2"/>
    <mergeCell ref="J3:K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4"/>
  <sheetViews>
    <sheetView workbookViewId="0">
      <selection activeCell="I13" sqref="I13"/>
    </sheetView>
  </sheetViews>
  <sheetFormatPr defaultColWidth="14.44140625" defaultRowHeight="14.4" x14ac:dyDescent="0.3"/>
  <cols>
    <col min="3" max="3" width="16" style="1" customWidth="1"/>
    <col min="5" max="5" width="16.44140625" style="1" bestFit="1" customWidth="1"/>
    <col min="6" max="6" width="16.44140625" style="1" customWidth="1"/>
  </cols>
  <sheetData>
    <row r="2" spans="1:12" s="4" customFormat="1" x14ac:dyDescent="0.3">
      <c r="A2" s="26" t="s">
        <v>5</v>
      </c>
      <c r="B2" s="26" t="s">
        <v>6</v>
      </c>
      <c r="C2" s="26" t="s">
        <v>311</v>
      </c>
      <c r="D2" s="26" t="s">
        <v>59</v>
      </c>
      <c r="E2" s="26" t="s">
        <v>314</v>
      </c>
      <c r="F2" s="26" t="s">
        <v>315</v>
      </c>
      <c r="I2" s="29" t="s">
        <v>304</v>
      </c>
      <c r="J2" s="29"/>
      <c r="K2" s="29"/>
      <c r="L2" s="29"/>
    </row>
    <row r="3" spans="1:12" x14ac:dyDescent="0.3">
      <c r="A3" s="11" t="s">
        <v>278</v>
      </c>
      <c r="B3" s="11" t="s">
        <v>58</v>
      </c>
      <c r="C3" s="25">
        <v>5</v>
      </c>
      <c r="D3" s="11">
        <v>72704</v>
      </c>
      <c r="E3" s="25" t="str">
        <f>IF(AND(B3="Operations",C3&gt;=5),"Yes","No")</f>
        <v>Yes</v>
      </c>
      <c r="F3" s="25" t="str">
        <f>IF(OR(B3="Operations",C3&gt;=5),"YES","NO")</f>
        <v>YES</v>
      </c>
      <c r="J3" s="31" t="s">
        <v>306</v>
      </c>
      <c r="K3" s="31"/>
      <c r="L3" s="11" t="s">
        <v>308</v>
      </c>
    </row>
    <row r="4" spans="1:12" x14ac:dyDescent="0.3">
      <c r="A4" s="11" t="s">
        <v>279</v>
      </c>
      <c r="B4" s="11" t="s">
        <v>59</v>
      </c>
      <c r="C4" s="25">
        <v>4</v>
      </c>
      <c r="D4" s="11">
        <v>65986</v>
      </c>
      <c r="E4" s="25" t="str">
        <f t="shared" ref="E4:E14" si="0">IF(AND(B4="Operations",C4&gt;=5),"Yes","No")</f>
        <v>No</v>
      </c>
      <c r="F4" s="25" t="str">
        <f t="shared" ref="F4:F14" si="1">IF(OR(B4="Operations",C4&gt;=5),"YES","NO")</f>
        <v>NO</v>
      </c>
      <c r="I4" s="32" t="s">
        <v>317</v>
      </c>
      <c r="J4" s="11" t="s">
        <v>57</v>
      </c>
      <c r="K4" s="11" t="s">
        <v>312</v>
      </c>
      <c r="L4" s="11" t="s">
        <v>309</v>
      </c>
    </row>
    <row r="5" spans="1:12" x14ac:dyDescent="0.3">
      <c r="A5" s="11" t="s">
        <v>280</v>
      </c>
      <c r="B5" s="11" t="s">
        <v>57</v>
      </c>
      <c r="C5" s="25">
        <v>3</v>
      </c>
      <c r="D5" s="11">
        <v>62547</v>
      </c>
      <c r="E5" s="25" t="str">
        <f t="shared" si="0"/>
        <v>No</v>
      </c>
      <c r="F5" s="25" t="str">
        <f t="shared" si="1"/>
        <v>NO</v>
      </c>
      <c r="I5" s="32"/>
    </row>
    <row r="6" spans="1:12" x14ac:dyDescent="0.3">
      <c r="A6" s="11" t="s">
        <v>281</v>
      </c>
      <c r="B6" s="11" t="s">
        <v>58</v>
      </c>
      <c r="C6" s="25">
        <v>4</v>
      </c>
      <c r="D6" s="11">
        <v>20325</v>
      </c>
      <c r="E6" s="25" t="str">
        <f t="shared" si="0"/>
        <v>No</v>
      </c>
      <c r="F6" s="25" t="str">
        <f t="shared" si="1"/>
        <v>YES</v>
      </c>
      <c r="I6" s="32"/>
      <c r="J6" t="s">
        <v>313</v>
      </c>
    </row>
    <row r="7" spans="1:12" x14ac:dyDescent="0.3">
      <c r="A7" s="11" t="s">
        <v>282</v>
      </c>
      <c r="B7" s="11" t="s">
        <v>58</v>
      </c>
      <c r="C7" s="25">
        <v>6</v>
      </c>
      <c r="D7" s="11">
        <v>96532</v>
      </c>
      <c r="E7" s="25" t="str">
        <f t="shared" si="0"/>
        <v>Yes</v>
      </c>
      <c r="F7" s="25" t="str">
        <f t="shared" si="1"/>
        <v>YES</v>
      </c>
    </row>
    <row r="8" spans="1:12" x14ac:dyDescent="0.3">
      <c r="A8" s="11" t="s">
        <v>283</v>
      </c>
      <c r="B8" s="11" t="s">
        <v>59</v>
      </c>
      <c r="C8" s="25">
        <v>7</v>
      </c>
      <c r="D8" s="11">
        <v>65874</v>
      </c>
      <c r="E8" s="25" t="str">
        <f t="shared" si="0"/>
        <v>No</v>
      </c>
      <c r="F8" s="25" t="str">
        <f t="shared" si="1"/>
        <v>YES</v>
      </c>
    </row>
    <row r="9" spans="1:12" x14ac:dyDescent="0.3">
      <c r="A9" s="11" t="s">
        <v>284</v>
      </c>
      <c r="B9" s="11" t="s">
        <v>57</v>
      </c>
      <c r="C9" s="25">
        <v>3</v>
      </c>
      <c r="D9" s="11">
        <v>86523</v>
      </c>
      <c r="E9" s="25" t="str">
        <f t="shared" si="0"/>
        <v>No</v>
      </c>
      <c r="F9" s="25" t="str">
        <f t="shared" si="1"/>
        <v>NO</v>
      </c>
      <c r="J9" s="31" t="s">
        <v>310</v>
      </c>
      <c r="K9" s="31"/>
      <c r="L9" s="11" t="s">
        <v>308</v>
      </c>
    </row>
    <row r="10" spans="1:12" x14ac:dyDescent="0.3">
      <c r="A10" s="11" t="s">
        <v>285</v>
      </c>
      <c r="B10" s="11" t="s">
        <v>58</v>
      </c>
      <c r="C10" s="25">
        <v>5</v>
      </c>
      <c r="D10" s="11">
        <v>32569</v>
      </c>
      <c r="E10" s="25" t="str">
        <f t="shared" si="0"/>
        <v>Yes</v>
      </c>
      <c r="F10" s="25" t="str">
        <f t="shared" si="1"/>
        <v>YES</v>
      </c>
      <c r="I10" s="32" t="s">
        <v>318</v>
      </c>
      <c r="J10" s="11" t="s">
        <v>57</v>
      </c>
      <c r="K10" s="11" t="s">
        <v>307</v>
      </c>
      <c r="L10" s="11" t="s">
        <v>309</v>
      </c>
    </row>
    <row r="11" spans="1:12" x14ac:dyDescent="0.3">
      <c r="A11" s="11" t="s">
        <v>286</v>
      </c>
      <c r="B11" s="11" t="s">
        <v>58</v>
      </c>
      <c r="C11" s="25">
        <v>6</v>
      </c>
      <c r="D11" s="11">
        <v>12365</v>
      </c>
      <c r="E11" s="25" t="str">
        <f t="shared" si="0"/>
        <v>Yes</v>
      </c>
      <c r="F11" s="25" t="str">
        <f t="shared" si="1"/>
        <v>YES</v>
      </c>
      <c r="I11" s="32"/>
      <c r="K11" s="24"/>
    </row>
    <row r="12" spans="1:12" x14ac:dyDescent="0.3">
      <c r="A12" s="11" t="s">
        <v>287</v>
      </c>
      <c r="B12" s="11" t="s">
        <v>59</v>
      </c>
      <c r="C12" s="25">
        <v>2</v>
      </c>
      <c r="D12" s="11">
        <v>12345</v>
      </c>
      <c r="E12" s="25" t="str">
        <f t="shared" si="0"/>
        <v>No</v>
      </c>
      <c r="F12" s="25" t="str">
        <f t="shared" si="1"/>
        <v>NO</v>
      </c>
      <c r="I12" s="32"/>
    </row>
    <row r="13" spans="1:12" x14ac:dyDescent="0.3">
      <c r="A13" s="11" t="s">
        <v>288</v>
      </c>
      <c r="B13" s="11" t="s">
        <v>59</v>
      </c>
      <c r="C13" s="25">
        <v>3</v>
      </c>
      <c r="D13" s="11">
        <v>98562</v>
      </c>
      <c r="E13" s="25" t="str">
        <f t="shared" si="0"/>
        <v>No</v>
      </c>
      <c r="F13" s="25" t="str">
        <f t="shared" si="1"/>
        <v>NO</v>
      </c>
      <c r="J13" t="s">
        <v>316</v>
      </c>
    </row>
    <row r="14" spans="1:12" x14ac:dyDescent="0.3">
      <c r="A14" s="11" t="s">
        <v>289</v>
      </c>
      <c r="B14" s="11" t="s">
        <v>58</v>
      </c>
      <c r="C14" s="25">
        <v>7</v>
      </c>
      <c r="D14" s="11">
        <v>75632</v>
      </c>
      <c r="E14" s="25" t="str">
        <f t="shared" si="0"/>
        <v>Yes</v>
      </c>
      <c r="F14" s="25" t="str">
        <f t="shared" si="1"/>
        <v>YES</v>
      </c>
    </row>
  </sheetData>
  <mergeCells count="5">
    <mergeCell ref="I2:L2"/>
    <mergeCell ref="J3:K3"/>
    <mergeCell ref="J9:K9"/>
    <mergeCell ref="I4:I6"/>
    <mergeCell ref="I10:I1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47"/>
  <sheetViews>
    <sheetView tabSelected="1" workbookViewId="0">
      <selection activeCell="L14" sqref="L14"/>
    </sheetView>
  </sheetViews>
  <sheetFormatPr defaultRowHeight="14.4" x14ac:dyDescent="0.3"/>
  <cols>
    <col min="1" max="1" width="12.44140625" style="1" bestFit="1" customWidth="1"/>
    <col min="2" max="2" width="13.21875" style="3" bestFit="1" customWidth="1"/>
    <col min="3" max="3" width="12" style="2" bestFit="1" customWidth="1"/>
    <col min="4" max="4" width="12.33203125" style="2" bestFit="1" customWidth="1"/>
    <col min="5" max="5" width="8.88671875" style="1"/>
    <col min="6" max="6" width="11.109375" bestFit="1" customWidth="1"/>
    <col min="7" max="7" width="11.109375" customWidth="1"/>
    <col min="8" max="8" width="15.77734375" bestFit="1" customWidth="1"/>
    <col min="12" max="12" width="61.5546875" bestFit="1" customWidth="1"/>
  </cols>
  <sheetData>
    <row r="2" spans="1:12" s="20" customFormat="1" ht="43.2" x14ac:dyDescent="0.3">
      <c r="A2" s="19" t="s">
        <v>140</v>
      </c>
      <c r="B2" s="19" t="s">
        <v>141</v>
      </c>
      <c r="C2" s="19" t="s">
        <v>74</v>
      </c>
      <c r="D2" s="19" t="s">
        <v>143</v>
      </c>
      <c r="E2" s="19" t="s">
        <v>75</v>
      </c>
      <c r="F2" s="19" t="s">
        <v>142</v>
      </c>
      <c r="G2" s="19" t="s">
        <v>241</v>
      </c>
      <c r="H2" s="19" t="s">
        <v>3</v>
      </c>
      <c r="J2" s="20" t="s">
        <v>322</v>
      </c>
    </row>
    <row r="3" spans="1:12" x14ac:dyDescent="0.3">
      <c r="A3" s="1" t="s">
        <v>144</v>
      </c>
      <c r="B3" s="3" t="s">
        <v>188</v>
      </c>
      <c r="C3" s="2" t="s">
        <v>232</v>
      </c>
      <c r="D3" s="2" t="str">
        <f t="shared" ref="D3:D12" si="0">PROPER(C3)</f>
        <v>Electornics</v>
      </c>
      <c r="E3" s="1">
        <v>35</v>
      </c>
      <c r="F3">
        <v>-3</v>
      </c>
      <c r="G3">
        <f t="shared" ref="G3:G46" si="1">IF(F3&lt;0,0,F3)</f>
        <v>0</v>
      </c>
      <c r="H3" s="7">
        <v>65985</v>
      </c>
      <c r="J3" t="s">
        <v>323</v>
      </c>
    </row>
    <row r="4" spans="1:12" x14ac:dyDescent="0.3">
      <c r="A4" s="1" t="s">
        <v>145</v>
      </c>
      <c r="B4" s="3" t="s">
        <v>189</v>
      </c>
      <c r="C4" s="2" t="s">
        <v>233</v>
      </c>
      <c r="D4" s="2" t="str">
        <f t="shared" si="0"/>
        <v>Electronic</v>
      </c>
      <c r="E4" s="1">
        <v>45</v>
      </c>
      <c r="F4">
        <v>40</v>
      </c>
      <c r="G4">
        <f t="shared" si="1"/>
        <v>40</v>
      </c>
      <c r="H4" s="7">
        <v>63258</v>
      </c>
    </row>
    <row r="5" spans="1:12" x14ac:dyDescent="0.3">
      <c r="A5" s="1" t="s">
        <v>146</v>
      </c>
      <c r="B5" s="3" t="s">
        <v>190</v>
      </c>
      <c r="C5" s="2" t="s">
        <v>234</v>
      </c>
      <c r="D5" s="2" t="str">
        <f t="shared" si="0"/>
        <v>Food</v>
      </c>
      <c r="E5" s="1">
        <v>55</v>
      </c>
      <c r="F5">
        <v>26</v>
      </c>
      <c r="G5">
        <f t="shared" si="1"/>
        <v>26</v>
      </c>
      <c r="H5" s="7">
        <v>98653</v>
      </c>
    </row>
    <row r="6" spans="1:12" x14ac:dyDescent="0.3">
      <c r="A6" s="1" t="s">
        <v>147</v>
      </c>
      <c r="B6" s="3" t="s">
        <v>191</v>
      </c>
      <c r="C6" s="2" t="s">
        <v>235</v>
      </c>
      <c r="D6" s="2" t="str">
        <f t="shared" si="0"/>
        <v>Cloting</v>
      </c>
      <c r="E6" s="1">
        <v>32</v>
      </c>
      <c r="F6">
        <v>69</v>
      </c>
      <c r="G6">
        <f t="shared" si="1"/>
        <v>69</v>
      </c>
      <c r="H6" s="7">
        <v>87456</v>
      </c>
    </row>
    <row r="7" spans="1:12" x14ac:dyDescent="0.3">
      <c r="A7" s="1" t="s">
        <v>148</v>
      </c>
      <c r="B7" s="3" t="s">
        <v>192</v>
      </c>
      <c r="C7" s="2" t="s">
        <v>236</v>
      </c>
      <c r="D7" s="2" t="str">
        <f t="shared" si="0"/>
        <v>Furniture</v>
      </c>
      <c r="E7" s="1">
        <v>35</v>
      </c>
      <c r="F7">
        <v>87</v>
      </c>
      <c r="G7">
        <f t="shared" si="1"/>
        <v>87</v>
      </c>
      <c r="H7" s="7">
        <v>14569</v>
      </c>
    </row>
    <row r="8" spans="1:12" x14ac:dyDescent="0.3">
      <c r="A8" s="1" t="s">
        <v>149</v>
      </c>
      <c r="B8" s="3" t="s">
        <v>193</v>
      </c>
      <c r="C8" s="2" t="s">
        <v>232</v>
      </c>
      <c r="D8" s="2" t="str">
        <f t="shared" si="0"/>
        <v>Electornics</v>
      </c>
      <c r="E8" s="1">
        <v>45</v>
      </c>
      <c r="F8">
        <v>31</v>
      </c>
      <c r="G8">
        <f t="shared" si="1"/>
        <v>31</v>
      </c>
      <c r="H8" s="7">
        <v>65489</v>
      </c>
    </row>
    <row r="9" spans="1:12" x14ac:dyDescent="0.3">
      <c r="A9" s="1" t="s">
        <v>150</v>
      </c>
      <c r="B9" s="3" t="s">
        <v>194</v>
      </c>
      <c r="C9" s="2" t="s">
        <v>233</v>
      </c>
      <c r="D9" s="2" t="str">
        <f t="shared" si="0"/>
        <v>Electronic</v>
      </c>
      <c r="E9" s="1">
        <v>55</v>
      </c>
      <c r="F9">
        <v>59</v>
      </c>
      <c r="G9">
        <f t="shared" si="1"/>
        <v>59</v>
      </c>
      <c r="H9" s="7">
        <v>98563</v>
      </c>
      <c r="L9" s="11" t="s">
        <v>321</v>
      </c>
    </row>
    <row r="10" spans="1:12" x14ac:dyDescent="0.3">
      <c r="A10" s="1" t="s">
        <v>151</v>
      </c>
      <c r="B10" s="3" t="s">
        <v>195</v>
      </c>
      <c r="C10" s="2" t="s">
        <v>234</v>
      </c>
      <c r="D10" s="2" t="str">
        <f t="shared" si="0"/>
        <v>Food</v>
      </c>
      <c r="E10" s="1">
        <v>35</v>
      </c>
      <c r="F10">
        <v>78</v>
      </c>
      <c r="G10">
        <f t="shared" si="1"/>
        <v>78</v>
      </c>
      <c r="H10" s="7">
        <v>32569</v>
      </c>
      <c r="L10" s="11" t="s">
        <v>319</v>
      </c>
    </row>
    <row r="11" spans="1:12" x14ac:dyDescent="0.3">
      <c r="A11" s="1" t="s">
        <v>152</v>
      </c>
      <c r="B11" s="3" t="s">
        <v>196</v>
      </c>
      <c r="C11" s="2" t="s">
        <v>234</v>
      </c>
      <c r="D11" s="2" t="str">
        <f t="shared" si="0"/>
        <v>Food</v>
      </c>
      <c r="E11" s="1">
        <v>32</v>
      </c>
      <c r="F11">
        <v>92</v>
      </c>
      <c r="G11">
        <f t="shared" si="1"/>
        <v>92</v>
      </c>
      <c r="H11" s="7">
        <v>14569</v>
      </c>
      <c r="L11" s="11" t="s">
        <v>320</v>
      </c>
    </row>
    <row r="12" spans="1:12" x14ac:dyDescent="0.3">
      <c r="A12" s="1" t="s">
        <v>153</v>
      </c>
      <c r="B12" s="3" t="s">
        <v>197</v>
      </c>
      <c r="C12" s="2" t="s">
        <v>236</v>
      </c>
      <c r="D12" s="2" t="str">
        <f t="shared" si="0"/>
        <v>Furniture</v>
      </c>
      <c r="E12" s="1">
        <v>38</v>
      </c>
      <c r="F12">
        <v>-5</v>
      </c>
      <c r="G12">
        <f t="shared" si="1"/>
        <v>0</v>
      </c>
      <c r="H12" s="7">
        <v>65489</v>
      </c>
      <c r="L12" s="11" t="s">
        <v>324</v>
      </c>
    </row>
    <row r="13" spans="1:12" x14ac:dyDescent="0.3">
      <c r="A13" s="1" t="s">
        <v>154</v>
      </c>
      <c r="B13" s="3" t="s">
        <v>198</v>
      </c>
      <c r="C13" s="2" t="s">
        <v>232</v>
      </c>
      <c r="D13" s="2" t="str">
        <f t="shared" ref="D13:D27" si="2">UPPER(C13)</f>
        <v>ELECTORNICS</v>
      </c>
      <c r="E13" s="1">
        <v>49</v>
      </c>
      <c r="F13">
        <v>22</v>
      </c>
      <c r="G13">
        <f t="shared" si="1"/>
        <v>22</v>
      </c>
      <c r="H13" s="7">
        <v>98563</v>
      </c>
      <c r="L13" s="11" t="s">
        <v>325</v>
      </c>
    </row>
    <row r="14" spans="1:12" x14ac:dyDescent="0.3">
      <c r="A14" s="1" t="s">
        <v>155</v>
      </c>
      <c r="B14" s="3" t="s">
        <v>199</v>
      </c>
      <c r="C14" s="2" t="s">
        <v>233</v>
      </c>
      <c r="D14" s="2" t="str">
        <f t="shared" si="2"/>
        <v>ELECTRONIC</v>
      </c>
      <c r="E14" s="1">
        <v>35</v>
      </c>
      <c r="F14">
        <v>45</v>
      </c>
      <c r="G14">
        <f t="shared" si="1"/>
        <v>45</v>
      </c>
      <c r="H14" s="7">
        <v>14569</v>
      </c>
    </row>
    <row r="15" spans="1:12" x14ac:dyDescent="0.3">
      <c r="A15" s="1" t="s">
        <v>156</v>
      </c>
      <c r="B15" s="3" t="s">
        <v>200</v>
      </c>
      <c r="C15" s="2" t="s">
        <v>234</v>
      </c>
      <c r="D15" s="2" t="str">
        <f t="shared" si="2"/>
        <v>FOOD</v>
      </c>
      <c r="E15" s="1">
        <v>45</v>
      </c>
      <c r="F15">
        <v>87</v>
      </c>
      <c r="G15">
        <f t="shared" si="1"/>
        <v>87</v>
      </c>
      <c r="H15" s="7">
        <v>65489</v>
      </c>
    </row>
    <row r="16" spans="1:12" x14ac:dyDescent="0.3">
      <c r="A16" s="1" t="s">
        <v>157</v>
      </c>
      <c r="B16" s="3" t="s">
        <v>201</v>
      </c>
      <c r="C16" s="2" t="s">
        <v>235</v>
      </c>
      <c r="D16" s="2" t="str">
        <f t="shared" si="2"/>
        <v>CLOTING</v>
      </c>
      <c r="E16" s="1">
        <v>55</v>
      </c>
      <c r="F16">
        <v>-3</v>
      </c>
      <c r="G16">
        <f t="shared" si="1"/>
        <v>0</v>
      </c>
      <c r="H16" s="7">
        <v>98563</v>
      </c>
    </row>
    <row r="17" spans="1:8" x14ac:dyDescent="0.3">
      <c r="A17" s="1" t="s">
        <v>158</v>
      </c>
      <c r="B17" s="3" t="s">
        <v>202</v>
      </c>
      <c r="C17" s="2" t="s">
        <v>236</v>
      </c>
      <c r="D17" s="2" t="str">
        <f t="shared" si="2"/>
        <v>FURNITURE</v>
      </c>
      <c r="E17" s="1">
        <v>28</v>
      </c>
      <c r="F17">
        <v>40</v>
      </c>
      <c r="G17">
        <f t="shared" si="1"/>
        <v>40</v>
      </c>
      <c r="H17" s="7">
        <v>58746</v>
      </c>
    </row>
    <row r="18" spans="1:8" x14ac:dyDescent="0.3">
      <c r="A18" s="1" t="s">
        <v>159</v>
      </c>
      <c r="B18" s="3" t="s">
        <v>203</v>
      </c>
      <c r="C18" s="2" t="s">
        <v>234</v>
      </c>
      <c r="D18" s="2" t="str">
        <f t="shared" si="2"/>
        <v>FOOD</v>
      </c>
      <c r="E18" s="1">
        <v>49</v>
      </c>
      <c r="F18">
        <v>26</v>
      </c>
      <c r="G18">
        <f t="shared" si="1"/>
        <v>26</v>
      </c>
      <c r="H18" s="7">
        <v>45758</v>
      </c>
    </row>
    <row r="19" spans="1:8" x14ac:dyDescent="0.3">
      <c r="A19" s="1" t="s">
        <v>160</v>
      </c>
      <c r="B19" s="3" t="s">
        <v>204</v>
      </c>
      <c r="C19" s="2" t="s">
        <v>234</v>
      </c>
      <c r="D19" s="2" t="str">
        <f t="shared" si="2"/>
        <v>FOOD</v>
      </c>
      <c r="E19" s="1">
        <v>35</v>
      </c>
      <c r="F19">
        <v>69</v>
      </c>
      <c r="G19">
        <f t="shared" si="1"/>
        <v>69</v>
      </c>
      <c r="H19" s="7">
        <v>14569</v>
      </c>
    </row>
    <row r="20" spans="1:8" x14ac:dyDescent="0.3">
      <c r="A20" s="1" t="s">
        <v>161</v>
      </c>
      <c r="B20" s="3" t="s">
        <v>205</v>
      </c>
      <c r="C20" s="2" t="s">
        <v>234</v>
      </c>
      <c r="D20" s="2" t="str">
        <f t="shared" si="2"/>
        <v>FOOD</v>
      </c>
      <c r="E20" s="1">
        <v>45</v>
      </c>
      <c r="F20">
        <v>87</v>
      </c>
      <c r="G20">
        <f t="shared" si="1"/>
        <v>87</v>
      </c>
      <c r="H20" s="7">
        <v>65489</v>
      </c>
    </row>
    <row r="21" spans="1:8" x14ac:dyDescent="0.3">
      <c r="A21" s="1" t="s">
        <v>162</v>
      </c>
      <c r="B21" s="3" t="s">
        <v>206</v>
      </c>
      <c r="C21" s="2" t="s">
        <v>236</v>
      </c>
      <c r="D21" s="2" t="str">
        <f t="shared" si="2"/>
        <v>FURNITURE</v>
      </c>
      <c r="E21" s="1">
        <v>55</v>
      </c>
      <c r="F21">
        <v>31</v>
      </c>
      <c r="G21">
        <f t="shared" si="1"/>
        <v>31</v>
      </c>
      <c r="H21" s="7">
        <v>98563</v>
      </c>
    </row>
    <row r="22" spans="1:8" x14ac:dyDescent="0.3">
      <c r="A22" s="1" t="s">
        <v>163</v>
      </c>
      <c r="B22" s="3" t="s">
        <v>207</v>
      </c>
      <c r="C22" s="2" t="s">
        <v>232</v>
      </c>
      <c r="D22" s="2" t="str">
        <f t="shared" si="2"/>
        <v>ELECTORNICS</v>
      </c>
      <c r="E22" s="1">
        <v>51</v>
      </c>
      <c r="F22">
        <v>59</v>
      </c>
      <c r="G22">
        <f t="shared" si="1"/>
        <v>59</v>
      </c>
      <c r="H22" s="7">
        <v>21036</v>
      </c>
    </row>
    <row r="23" spans="1:8" x14ac:dyDescent="0.3">
      <c r="A23" s="1" t="s">
        <v>164</v>
      </c>
      <c r="B23" s="3" t="s">
        <v>208</v>
      </c>
      <c r="C23" s="2" t="s">
        <v>233</v>
      </c>
      <c r="D23" s="2" t="str">
        <f t="shared" si="2"/>
        <v>ELECTRONIC</v>
      </c>
      <c r="E23" s="1">
        <v>20</v>
      </c>
      <c r="F23">
        <v>78</v>
      </c>
      <c r="G23">
        <f t="shared" si="1"/>
        <v>78</v>
      </c>
      <c r="H23" s="7">
        <v>65984</v>
      </c>
    </row>
    <row r="24" spans="1:8" x14ac:dyDescent="0.3">
      <c r="A24" s="1" t="s">
        <v>165</v>
      </c>
      <c r="B24" s="3" t="s">
        <v>209</v>
      </c>
      <c r="C24" s="2" t="s">
        <v>234</v>
      </c>
      <c r="D24" s="2" t="str">
        <f t="shared" si="2"/>
        <v>FOOD</v>
      </c>
      <c r="E24" s="1">
        <v>30</v>
      </c>
      <c r="F24">
        <v>92</v>
      </c>
      <c r="G24">
        <f t="shared" si="1"/>
        <v>92</v>
      </c>
      <c r="H24" s="7">
        <v>20202</v>
      </c>
    </row>
    <row r="25" spans="1:8" x14ac:dyDescent="0.3">
      <c r="A25" s="1" t="s">
        <v>166</v>
      </c>
      <c r="B25" s="3" t="s">
        <v>210</v>
      </c>
      <c r="C25" s="2" t="s">
        <v>235</v>
      </c>
      <c r="D25" s="2" t="str">
        <f t="shared" si="2"/>
        <v>CLOTING</v>
      </c>
      <c r="E25" s="1">
        <v>35</v>
      </c>
      <c r="F25">
        <v>-5</v>
      </c>
      <c r="G25">
        <f t="shared" si="1"/>
        <v>0</v>
      </c>
      <c r="H25" s="7">
        <v>14569</v>
      </c>
    </row>
    <row r="26" spans="1:8" x14ac:dyDescent="0.3">
      <c r="A26" s="1" t="s">
        <v>167</v>
      </c>
      <c r="B26" s="3" t="s">
        <v>211</v>
      </c>
      <c r="C26" s="2" t="s">
        <v>236</v>
      </c>
      <c r="D26" s="2" t="str">
        <f t="shared" si="2"/>
        <v>FURNITURE</v>
      </c>
      <c r="E26" s="1">
        <v>45</v>
      </c>
      <c r="F26">
        <v>22</v>
      </c>
      <c r="G26">
        <f t="shared" si="1"/>
        <v>22</v>
      </c>
      <c r="H26" s="7">
        <v>65489</v>
      </c>
    </row>
    <row r="27" spans="1:8" x14ac:dyDescent="0.3">
      <c r="A27" s="1" t="s">
        <v>168</v>
      </c>
      <c r="B27" s="3" t="s">
        <v>212</v>
      </c>
      <c r="C27" s="2" t="s">
        <v>234</v>
      </c>
      <c r="D27" s="2" t="str">
        <f t="shared" si="2"/>
        <v>FOOD</v>
      </c>
      <c r="E27" s="1">
        <v>55</v>
      </c>
      <c r="F27">
        <v>45</v>
      </c>
      <c r="G27">
        <f t="shared" si="1"/>
        <v>45</v>
      </c>
      <c r="H27" s="7">
        <v>98563</v>
      </c>
    </row>
    <row r="28" spans="1:8" x14ac:dyDescent="0.3">
      <c r="A28" s="1" t="s">
        <v>169</v>
      </c>
      <c r="B28" s="3" t="s">
        <v>213</v>
      </c>
      <c r="C28" s="2" t="s">
        <v>237</v>
      </c>
      <c r="D28" s="2" t="str">
        <f t="shared" ref="D28:D46" si="3">LOWER(C28)</f>
        <v>cloting</v>
      </c>
      <c r="E28" s="1">
        <v>40</v>
      </c>
      <c r="F28">
        <v>87</v>
      </c>
      <c r="G28">
        <f t="shared" si="1"/>
        <v>87</v>
      </c>
      <c r="H28" s="7">
        <v>36974</v>
      </c>
    </row>
    <row r="29" spans="1:8" x14ac:dyDescent="0.3">
      <c r="A29" s="1" t="s">
        <v>170</v>
      </c>
      <c r="B29" s="3" t="s">
        <v>214</v>
      </c>
      <c r="C29" s="2" t="s">
        <v>235</v>
      </c>
      <c r="D29" s="2" t="str">
        <f t="shared" si="3"/>
        <v>cloting</v>
      </c>
      <c r="E29" s="1">
        <v>49</v>
      </c>
      <c r="F29">
        <v>-3</v>
      </c>
      <c r="G29">
        <f t="shared" si="1"/>
        <v>0</v>
      </c>
      <c r="H29" s="7">
        <v>1568</v>
      </c>
    </row>
    <row r="30" spans="1:8" x14ac:dyDescent="0.3">
      <c r="A30" s="1" t="s">
        <v>171</v>
      </c>
      <c r="B30" s="3" t="s">
        <v>215</v>
      </c>
      <c r="C30" s="2" t="s">
        <v>236</v>
      </c>
      <c r="D30" s="2" t="str">
        <f t="shared" si="3"/>
        <v>furniture</v>
      </c>
      <c r="E30" s="1">
        <v>43</v>
      </c>
      <c r="F30">
        <v>40</v>
      </c>
      <c r="G30">
        <f t="shared" si="1"/>
        <v>40</v>
      </c>
      <c r="H30" s="7">
        <v>98654</v>
      </c>
    </row>
    <row r="31" spans="1:8" x14ac:dyDescent="0.3">
      <c r="A31" s="1" t="s">
        <v>172</v>
      </c>
      <c r="B31" s="3" t="s">
        <v>216</v>
      </c>
      <c r="C31" s="2" t="s">
        <v>232</v>
      </c>
      <c r="D31" s="2" t="str">
        <f t="shared" si="3"/>
        <v>electornics</v>
      </c>
      <c r="E31" s="1">
        <v>35</v>
      </c>
      <c r="F31">
        <v>26</v>
      </c>
      <c r="G31">
        <f t="shared" si="1"/>
        <v>26</v>
      </c>
      <c r="H31" s="7">
        <v>14569</v>
      </c>
    </row>
    <row r="32" spans="1:8" x14ac:dyDescent="0.3">
      <c r="A32" s="1" t="s">
        <v>173</v>
      </c>
      <c r="B32" s="3" t="s">
        <v>217</v>
      </c>
      <c r="C32" s="2" t="s">
        <v>233</v>
      </c>
      <c r="D32" s="2" t="str">
        <f t="shared" si="3"/>
        <v>electronic</v>
      </c>
      <c r="E32" s="1">
        <v>45</v>
      </c>
      <c r="F32">
        <v>69</v>
      </c>
      <c r="G32">
        <f t="shared" si="1"/>
        <v>69</v>
      </c>
      <c r="H32" s="7">
        <v>65489</v>
      </c>
    </row>
    <row r="33" spans="1:8" x14ac:dyDescent="0.3">
      <c r="A33" s="1" t="s">
        <v>174</v>
      </c>
      <c r="B33" s="3" t="s">
        <v>218</v>
      </c>
      <c r="C33" s="2" t="s">
        <v>234</v>
      </c>
      <c r="D33" s="2" t="str">
        <f t="shared" si="3"/>
        <v>food</v>
      </c>
      <c r="E33" s="1">
        <v>55</v>
      </c>
      <c r="F33">
        <v>87</v>
      </c>
      <c r="G33">
        <f t="shared" si="1"/>
        <v>87</v>
      </c>
      <c r="H33" s="7">
        <v>98563</v>
      </c>
    </row>
    <row r="34" spans="1:8" x14ac:dyDescent="0.3">
      <c r="A34" s="1" t="s">
        <v>175</v>
      </c>
      <c r="B34" s="3" t="s">
        <v>219</v>
      </c>
      <c r="C34" s="2" t="s">
        <v>235</v>
      </c>
      <c r="D34" s="2" t="str">
        <f t="shared" si="3"/>
        <v>cloting</v>
      </c>
      <c r="E34" s="1">
        <v>29</v>
      </c>
      <c r="F34">
        <v>31</v>
      </c>
      <c r="G34">
        <f t="shared" si="1"/>
        <v>31</v>
      </c>
      <c r="H34" s="7">
        <v>98745</v>
      </c>
    </row>
    <row r="35" spans="1:8" x14ac:dyDescent="0.3">
      <c r="A35" s="1" t="s">
        <v>176</v>
      </c>
      <c r="B35" s="3" t="s">
        <v>220</v>
      </c>
      <c r="C35" s="2" t="s">
        <v>236</v>
      </c>
      <c r="D35" s="2" t="str">
        <f t="shared" si="3"/>
        <v>furniture</v>
      </c>
      <c r="E35" s="1">
        <v>46</v>
      </c>
      <c r="F35">
        <v>-3</v>
      </c>
      <c r="G35">
        <f t="shared" si="1"/>
        <v>0</v>
      </c>
      <c r="H35" s="7">
        <v>14569</v>
      </c>
    </row>
    <row r="36" spans="1:8" x14ac:dyDescent="0.3">
      <c r="A36" s="1" t="s">
        <v>177</v>
      </c>
      <c r="B36" s="3" t="s">
        <v>221</v>
      </c>
      <c r="C36" s="2" t="s">
        <v>234</v>
      </c>
      <c r="D36" s="2" t="str">
        <f t="shared" si="3"/>
        <v>food</v>
      </c>
      <c r="E36" s="1">
        <v>19</v>
      </c>
      <c r="F36">
        <v>40</v>
      </c>
      <c r="G36">
        <f t="shared" si="1"/>
        <v>40</v>
      </c>
      <c r="H36" s="7">
        <v>14569</v>
      </c>
    </row>
    <row r="37" spans="1:8" x14ac:dyDescent="0.3">
      <c r="A37" s="1" t="s">
        <v>178</v>
      </c>
      <c r="B37" s="3" t="s">
        <v>222</v>
      </c>
      <c r="C37" s="2" t="s">
        <v>237</v>
      </c>
      <c r="D37" s="2" t="str">
        <f t="shared" si="3"/>
        <v>cloting</v>
      </c>
      <c r="E37" s="1">
        <v>35</v>
      </c>
      <c r="F37">
        <v>26</v>
      </c>
      <c r="G37">
        <f t="shared" si="1"/>
        <v>26</v>
      </c>
      <c r="H37" s="7">
        <v>65489</v>
      </c>
    </row>
    <row r="38" spans="1:8" x14ac:dyDescent="0.3">
      <c r="A38" s="1" t="s">
        <v>179</v>
      </c>
      <c r="B38" s="3" t="s">
        <v>223</v>
      </c>
      <c r="C38" s="2" t="s">
        <v>235</v>
      </c>
      <c r="D38" s="2" t="str">
        <f t="shared" si="3"/>
        <v>cloting</v>
      </c>
      <c r="E38" s="1">
        <v>45</v>
      </c>
      <c r="F38">
        <v>69</v>
      </c>
      <c r="G38">
        <f t="shared" si="1"/>
        <v>69</v>
      </c>
      <c r="H38" s="7">
        <v>98563</v>
      </c>
    </row>
    <row r="39" spans="1:8" x14ac:dyDescent="0.3">
      <c r="A39" s="1" t="s">
        <v>180</v>
      </c>
      <c r="B39" s="3" t="s">
        <v>224</v>
      </c>
      <c r="C39" s="2" t="s">
        <v>236</v>
      </c>
      <c r="D39" s="2" t="str">
        <f t="shared" si="3"/>
        <v>furniture</v>
      </c>
      <c r="E39" s="1">
        <v>55</v>
      </c>
      <c r="F39">
        <v>87</v>
      </c>
      <c r="G39">
        <f t="shared" si="1"/>
        <v>87</v>
      </c>
      <c r="H39" s="7">
        <v>36974</v>
      </c>
    </row>
    <row r="40" spans="1:8" x14ac:dyDescent="0.3">
      <c r="A40" s="1" t="s">
        <v>181</v>
      </c>
      <c r="B40" s="3" t="s">
        <v>225</v>
      </c>
      <c r="C40" s="2" t="s">
        <v>232</v>
      </c>
      <c r="D40" s="2" t="str">
        <f t="shared" si="3"/>
        <v>electornics</v>
      </c>
      <c r="E40" s="1">
        <v>28</v>
      </c>
      <c r="F40">
        <v>31</v>
      </c>
      <c r="G40">
        <f t="shared" si="1"/>
        <v>31</v>
      </c>
      <c r="H40" s="7">
        <v>1568</v>
      </c>
    </row>
    <row r="41" spans="1:8" x14ac:dyDescent="0.3">
      <c r="A41" s="1" t="s">
        <v>182</v>
      </c>
      <c r="B41" s="3" t="s">
        <v>226</v>
      </c>
      <c r="C41" s="2" t="s">
        <v>233</v>
      </c>
      <c r="D41" s="2" t="str">
        <f t="shared" si="3"/>
        <v>electronic</v>
      </c>
      <c r="E41" s="1">
        <v>35</v>
      </c>
      <c r="F41">
        <v>59</v>
      </c>
      <c r="G41">
        <f t="shared" si="1"/>
        <v>59</v>
      </c>
      <c r="H41" s="7">
        <v>98654</v>
      </c>
    </row>
    <row r="42" spans="1:8" x14ac:dyDescent="0.3">
      <c r="A42" s="1" t="s">
        <v>183</v>
      </c>
      <c r="B42" s="3" t="s">
        <v>227</v>
      </c>
      <c r="C42" s="2" t="s">
        <v>234</v>
      </c>
      <c r="D42" s="2" t="str">
        <f t="shared" si="3"/>
        <v>food</v>
      </c>
      <c r="E42" s="1">
        <v>45</v>
      </c>
      <c r="F42">
        <v>78</v>
      </c>
      <c r="G42">
        <f t="shared" si="1"/>
        <v>78</v>
      </c>
      <c r="H42" s="7">
        <v>14569</v>
      </c>
    </row>
    <row r="43" spans="1:8" x14ac:dyDescent="0.3">
      <c r="A43" s="1" t="s">
        <v>184</v>
      </c>
      <c r="B43" s="3" t="s">
        <v>228</v>
      </c>
      <c r="C43" s="2" t="s">
        <v>235</v>
      </c>
      <c r="D43" s="2" t="str">
        <f t="shared" si="3"/>
        <v>cloting</v>
      </c>
      <c r="E43" s="1">
        <v>55</v>
      </c>
      <c r="F43">
        <v>92</v>
      </c>
      <c r="G43">
        <f t="shared" si="1"/>
        <v>92</v>
      </c>
      <c r="H43" s="7">
        <v>65489</v>
      </c>
    </row>
    <row r="44" spans="1:8" x14ac:dyDescent="0.3">
      <c r="A44" s="1" t="s">
        <v>185</v>
      </c>
      <c r="B44" s="3" t="s">
        <v>229</v>
      </c>
      <c r="C44" s="2" t="s">
        <v>236</v>
      </c>
      <c r="D44" s="2" t="str">
        <f t="shared" si="3"/>
        <v>furniture</v>
      </c>
      <c r="E44" s="1">
        <v>35</v>
      </c>
      <c r="F44">
        <v>-5</v>
      </c>
      <c r="G44">
        <f t="shared" si="1"/>
        <v>0</v>
      </c>
      <c r="H44" s="7">
        <v>98563</v>
      </c>
    </row>
    <row r="45" spans="1:8" x14ac:dyDescent="0.3">
      <c r="A45" s="1" t="s">
        <v>186</v>
      </c>
      <c r="B45" s="3" t="s">
        <v>230</v>
      </c>
      <c r="C45" s="2" t="s">
        <v>234</v>
      </c>
      <c r="D45" s="2" t="str">
        <f t="shared" si="3"/>
        <v>food</v>
      </c>
      <c r="E45" s="1">
        <v>45</v>
      </c>
      <c r="F45">
        <v>22</v>
      </c>
      <c r="G45">
        <f t="shared" si="1"/>
        <v>22</v>
      </c>
      <c r="H45" s="7">
        <v>98745</v>
      </c>
    </row>
    <row r="46" spans="1:8" x14ac:dyDescent="0.3">
      <c r="A46" s="1" t="s">
        <v>187</v>
      </c>
      <c r="B46" s="3" t="s">
        <v>231</v>
      </c>
      <c r="C46" s="2" t="s">
        <v>237</v>
      </c>
      <c r="D46" s="2" t="str">
        <f t="shared" si="3"/>
        <v>cloting</v>
      </c>
      <c r="E46" s="1">
        <v>55</v>
      </c>
      <c r="F46">
        <v>45</v>
      </c>
      <c r="G46">
        <f t="shared" si="1"/>
        <v>45</v>
      </c>
      <c r="H46" s="7">
        <v>74598</v>
      </c>
    </row>
    <row r="47" spans="1:8" x14ac:dyDescent="0.3">
      <c r="H47" s="8">
        <f>SUM(H3:H46)</f>
        <v>2549664</v>
      </c>
    </row>
  </sheetData>
  <autoFilter ref="A2:H47"/>
  <dataValidations count="1">
    <dataValidation type="list" allowBlank="1" showInputMessage="1" showErrorMessage="1" sqref="J3">
      <formula1>$D:$D</formula1>
    </dataValidation>
  </dataValidation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Basic Data</vt:lpstr>
      <vt:lpstr>Remove_Duplicate</vt:lpstr>
      <vt:lpstr>Remove_Duplicate-2</vt:lpstr>
      <vt:lpstr>Data Validation</vt:lpstr>
      <vt:lpstr>Blank Rows</vt:lpstr>
      <vt:lpstr>Remove_Spaces</vt:lpstr>
      <vt:lpstr>Remove_Spaces Example-2</vt:lpstr>
      <vt:lpstr>Data_Cleaning</vt:lpstr>
      <vt:lpstr>Split_Data</vt:lpstr>
      <vt:lpstr>Incentive Calculation (IF)</vt:lpstr>
      <vt:lpstr>Logical_Function (AND-OR)</vt:lpstr>
      <vt:lpstr>Data_Sort &amp; Filter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Ibti Lenovo</dc:creator>
  <cp:lastModifiedBy>Ibti Lenovo</cp:lastModifiedBy>
  <dcterms:created xsi:type="dcterms:W3CDTF">2025-07-05T15:08:32Z</dcterms:created>
  <dcterms:modified xsi:type="dcterms:W3CDTF">2025-07-07T18:32:30Z</dcterms:modified>
</cp:coreProperties>
</file>